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33BA4400-07CA-4521-8BCB-1646B5D23ACB}" xr6:coauthVersionLast="47" xr6:coauthVersionMax="47" xr10:uidLastSave="{00000000-0000-0000-0000-000000000000}"/>
  <bookViews>
    <workbookView xWindow="-120" yWindow="-120" windowWidth="20730" windowHeight="11040" tabRatio="500" firstSheet="1" activeTab="2" xr2:uid="{00000000-000D-0000-FFFF-FFFF00000000}"/>
  </bookViews>
  <sheets>
    <sheet name="Diagrama ER (corregido)" sheetId="1" r:id="rId1"/>
    <sheet name="Inventario Modelo Lógico (corre" sheetId="2" r:id="rId2"/>
    <sheet name="Tipos de Dato" sheetId="3" r:id="rId3"/>
    <sheet name="DICCIONARIO DATOS (Físico)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34" i="4" l="1"/>
  <c r="F34" i="4"/>
  <c r="K306" i="4" s="1"/>
  <c r="B34" i="4"/>
  <c r="C306" i="4" s="1"/>
  <c r="X33" i="4"/>
  <c r="F33" i="4"/>
  <c r="K297" i="4" s="1"/>
  <c r="B33" i="4"/>
  <c r="C297" i="4" s="1"/>
  <c r="X32" i="4"/>
  <c r="F32" i="4"/>
  <c r="K287" i="4" s="1"/>
  <c r="B32" i="4"/>
  <c r="C287" i="4" s="1"/>
  <c r="X31" i="4"/>
  <c r="F31" i="4"/>
  <c r="K279" i="4" s="1"/>
  <c r="B31" i="4"/>
  <c r="C279" i="4" s="1"/>
  <c r="X30" i="4"/>
  <c r="F30" i="4"/>
  <c r="K271" i="4" s="1"/>
  <c r="B30" i="4"/>
  <c r="C271" i="4" s="1"/>
  <c r="X29" i="4"/>
  <c r="F29" i="4"/>
  <c r="K263" i="4" s="1"/>
  <c r="B29" i="4"/>
  <c r="C263" i="4" s="1"/>
  <c r="X28" i="4"/>
  <c r="F28" i="4"/>
  <c r="K255" i="4" s="1"/>
  <c r="B28" i="4"/>
  <c r="C255" i="4" s="1"/>
  <c r="X27" i="4"/>
  <c r="F27" i="4"/>
  <c r="K247" i="4" s="1"/>
  <c r="B27" i="4"/>
  <c r="C247" i="4" s="1"/>
  <c r="X26" i="4"/>
  <c r="F26" i="4"/>
  <c r="K239" i="4" s="1"/>
  <c r="B26" i="4"/>
  <c r="C239" i="4" s="1"/>
  <c r="X25" i="4"/>
  <c r="F25" i="4"/>
  <c r="K231" i="4" s="1"/>
  <c r="B25" i="4"/>
  <c r="C231" i="4" s="1"/>
  <c r="X24" i="4"/>
  <c r="F24" i="4"/>
  <c r="K221" i="4" s="1"/>
  <c r="B24" i="4"/>
  <c r="C221" i="4" s="1"/>
  <c r="X23" i="4"/>
  <c r="F23" i="4"/>
  <c r="K210" i="4" s="1"/>
  <c r="B23" i="4"/>
  <c r="C210" i="4" s="1"/>
  <c r="X22" i="4"/>
  <c r="F22" i="4"/>
  <c r="K198" i="4" s="1"/>
  <c r="B22" i="4"/>
  <c r="C198" i="4" s="1"/>
  <c r="X21" i="4"/>
  <c r="F21" i="4"/>
  <c r="K188" i="4" s="1"/>
  <c r="B21" i="4"/>
  <c r="C188" i="4" s="1"/>
  <c r="X20" i="4"/>
  <c r="F20" i="4"/>
  <c r="K181" i="4" s="1"/>
  <c r="B20" i="4"/>
  <c r="C181" i="4" s="1"/>
  <c r="X19" i="4"/>
  <c r="F19" i="4"/>
  <c r="K174" i="4" s="1"/>
  <c r="B19" i="4"/>
  <c r="C174" i="4" s="1"/>
  <c r="X18" i="4"/>
  <c r="F18" i="4"/>
  <c r="K163" i="4" s="1"/>
  <c r="B18" i="4"/>
  <c r="C163" i="4" s="1"/>
  <c r="X17" i="4"/>
  <c r="F17" i="4"/>
  <c r="K155" i="4" s="1"/>
  <c r="B17" i="4"/>
  <c r="C155" i="4" s="1"/>
  <c r="X16" i="4"/>
  <c r="F16" i="4"/>
  <c r="K146" i="4" s="1"/>
  <c r="B16" i="4"/>
  <c r="C146" i="4" s="1"/>
  <c r="X15" i="4"/>
  <c r="F15" i="4"/>
  <c r="K138" i="4" s="1"/>
  <c r="B15" i="4"/>
  <c r="C138" i="4" s="1"/>
  <c r="X14" i="4"/>
  <c r="F14" i="4"/>
  <c r="K129" i="4" s="1"/>
  <c r="B14" i="4"/>
  <c r="C129" i="4" s="1"/>
  <c r="X13" i="4"/>
  <c r="F13" i="4"/>
  <c r="K121" i="4" s="1"/>
  <c r="B13" i="4"/>
  <c r="C121" i="4" s="1"/>
  <c r="X12" i="4"/>
  <c r="F12" i="4"/>
  <c r="K113" i="4" s="1"/>
  <c r="B12" i="4"/>
  <c r="C113" i="4" s="1"/>
  <c r="X11" i="4"/>
  <c r="F11" i="4"/>
  <c r="K102" i="4" s="1"/>
  <c r="B11" i="4"/>
  <c r="C102" i="4" s="1"/>
  <c r="X10" i="4"/>
  <c r="F10" i="4"/>
  <c r="K91" i="4" s="1"/>
  <c r="B10" i="4"/>
  <c r="C91" i="4" s="1"/>
  <c r="X9" i="4"/>
  <c r="F9" i="4"/>
  <c r="K84" i="4" s="1"/>
  <c r="B9" i="4"/>
  <c r="C84" i="4" s="1"/>
  <c r="X8" i="4"/>
  <c r="F8" i="4"/>
  <c r="K77" i="4" s="1"/>
  <c r="B8" i="4"/>
  <c r="C77" i="4" s="1"/>
  <c r="X7" i="4"/>
  <c r="F7" i="4"/>
  <c r="K67" i="4" s="1"/>
  <c r="B7" i="4"/>
  <c r="C67" i="4" s="1"/>
  <c r="X6" i="4"/>
  <c r="F6" i="4"/>
  <c r="K59" i="4" s="1"/>
  <c r="B6" i="4"/>
  <c r="C59" i="4" s="1"/>
  <c r="X5" i="4"/>
  <c r="F5" i="4"/>
  <c r="K51" i="4" s="1"/>
  <c r="B5" i="4"/>
  <c r="C51" i="4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X4" i="4"/>
  <c r="F4" i="4"/>
  <c r="K38" i="4" s="1"/>
  <c r="B4" i="4"/>
  <c r="C38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4" i="2"/>
</calcChain>
</file>

<file path=xl/sharedStrings.xml><?xml version="1.0" encoding="utf-8"?>
<sst xmlns="http://schemas.openxmlformats.org/spreadsheetml/2006/main" count="1399" uniqueCount="440">
  <si>
    <t>Tablas resultantes del Diccionario Genérico (Modelo Lógico)</t>
  </si>
  <si>
    <t>#</t>
  </si>
  <si>
    <t>Tabla</t>
  </si>
  <si>
    <t>Descripción Tabla</t>
  </si>
  <si>
    <t>Observaciones</t>
  </si>
  <si>
    <t>usuario</t>
  </si>
  <si>
    <t>Persona registrada en la plataforma que interactúa con la red social.</t>
  </si>
  <si>
    <t>Origen: Entidad Usuario | PK: id_usuario | FK: id_rol, id_tipo_usuario | UK: nombre_usuario, correo</t>
  </si>
  <si>
    <t>rol</t>
  </si>
  <si>
    <t>Clasifica a los usuarios según sus permisos y nivel de acceso dentro del sistema.</t>
  </si>
  <si>
    <t>Origen: Entidad Rol | PK: id_rol | UK: nombre_rol</t>
  </si>
  <si>
    <t>tipo_usuario</t>
  </si>
  <si>
    <t>Clasificación académica o profesional del usuario con fines estadísticos.</t>
  </si>
  <si>
    <t>Origen: Entidad TipoUsuario | PK: id_tipo_usuario | UK: nombre_tipo</t>
  </si>
  <si>
    <t>perfil</t>
  </si>
  <si>
    <t>Extensión de la información del usuario que almacena intereses, habilidades y datos adicionales en formato JSONB.</t>
  </si>
  <si>
    <t>Origen: Entidad Perfil (débil) | PK: id_perfil | FK: id_usuario | UK: id_usuario</t>
  </si>
  <si>
    <t>interes</t>
  </si>
  <si>
    <t>Catálogo de intereses personales (fotografía, videojuegos, lectura, etc.) que los usuarios pueden asociar a su cuenta.</t>
  </si>
  <si>
    <t>Origen: Entidad Interes | PK: id_interes | UK: nombre_interes</t>
  </si>
  <si>
    <t>habilidad</t>
  </si>
  <si>
    <t>Catálogo de habilidades (programación, diseño gráfico, etc.) que los usuarios pueden declarar en su cuenta.</t>
  </si>
  <si>
    <t>Origen: Entidad Habilidad | PK: id_habilidad | UK: nombre_habilidad</t>
  </si>
  <si>
    <t>publicacion</t>
  </si>
  <si>
    <t>Contenido compartido por un usuario en el muro de la red social.</t>
  </si>
  <si>
    <t>Origen: Entidad Publicacion | PK: id_publicacion | FK: id_usuario</t>
  </si>
  <si>
    <t>comentario</t>
  </si>
  <si>
    <t>Respuesta o reacción escrita que un usuario realiza sobre una publicación específica.</t>
  </si>
  <si>
    <t>Origen: Entidad Comentario (débil) | PK: id_comentario | FK: id_publicacion, id_usuario, id_comentario_padre</t>
  </si>
  <si>
    <t>grupo</t>
  </si>
  <si>
    <t>Espacio colaborativo creado para reunir usuarios con intereses académicos, deportivos o de ocio en común.</t>
  </si>
  <si>
    <t>Origen: Entidad Grupo | PK: id_grupo | FK: id_usuario_creador</t>
  </si>
  <si>
    <t>tipo_servicio</t>
  </si>
  <si>
    <t>Catálogo predefinido que clasifica los servicios ofrecidos (tutorías, reparaciones, asesorías, etc.).</t>
  </si>
  <si>
    <t>Origen: Entidad TipoServicio | PK: id_tipo_servicio | UK: nombre_tipo</t>
  </si>
  <si>
    <t>servicio</t>
  </si>
  <si>
    <t>Oferta concreta que un usuario publica para brindar un servicio a otros, con precio y descripción.</t>
  </si>
  <si>
    <t>Origen: Entidad Servicio | PK: id_servicio | FK: id_tipo_servicio, id_usuario</t>
  </si>
  <si>
    <t>tipo_producto</t>
  </si>
  <si>
    <t>Catálogo predefinido que clasifica los productos en venta (libros, tecnología, ropa, etc.).</t>
  </si>
  <si>
    <t>Origen: Entidad TipoProducto | PK: id_tipo_producto | UK: nombre_tipo</t>
  </si>
  <si>
    <t>producto</t>
  </si>
  <si>
    <t>Artículo físico o digital que un usuario publica para vender o adquirir dentro de la plataforma.</t>
  </si>
  <si>
    <t>Origen: Entidad Producto | PK: id_producto | FK: id_tipo_producto, id_usuario</t>
  </si>
  <si>
    <t>tipo_evento</t>
  </si>
  <si>
    <t>Catálogo predefinido que clasifica los eventos.</t>
  </si>
  <si>
    <t>Origen: Entidad TipoEvento | PK: id_tipo_evento | UK: nombre_tipo</t>
  </si>
  <si>
    <t>evento</t>
  </si>
  <si>
    <t>Actividad programada con fecha, hora y lugar, organizada por un usuario y con participación de otros.</t>
  </si>
  <si>
    <t>Origen: Entidad Evento | PK: id_evento | FK: id_tipo_evento, id_usuario_organizador</t>
  </si>
  <si>
    <t>etiqueta</t>
  </si>
  <si>
    <t>Etiqueta temática que clasifica las publicaciones (académico, deportes, noticias) para facilitar filtros.</t>
  </si>
  <si>
    <t>Origen: Entidad Etiqueta | PK: id_etiqueta | UK: nombre_etiqueta</t>
  </si>
  <si>
    <t>chat</t>
  </si>
  <si>
    <t>Espacio de conversación en el que participan dos o más usuarios para intercambiar mensajes.</t>
  </si>
  <si>
    <t>Origen: Entidad Chat | PK: id_chat</t>
  </si>
  <si>
    <t>mensaje</t>
  </si>
  <si>
    <t>Texto enviado por un usuario dentro de un chat.</t>
  </si>
  <si>
    <t>Origen: Entidad Mensaje | PK: id_mensaje | FK: id_chat, id_usuario_emisor</t>
  </si>
  <si>
    <t>resena</t>
  </si>
  <si>
    <t>Evaluación numérica y comentario que un usuario deja sobre otro tras una compra, servicio o interacción.</t>
  </si>
  <si>
    <t>Origen: Entidad Reseña | PK: id_resena | FK: id_usuario_autor, id_servicio, id_producto, id_evento</t>
  </si>
  <si>
    <t>notificacion</t>
  </si>
  <si>
    <t>Alerta automática que informa a un usuario sobre interacciones relevantes (comentarios, likes, mensajes).</t>
  </si>
  <si>
    <t>Origen: Entidad Notificacion | PK: id_notificacion | FK: id_usuario_destino, id_publicacion, id_comentario</t>
  </si>
  <si>
    <t>venta</t>
  </si>
  <si>
    <t>Transacción comercial entre un usuario comprador y un usuario vendedor, que puede incluir productos, servicios y eventos.</t>
  </si>
  <si>
    <t>Origen: Entidad Venta | PK: id_venta | FK: id_usuario_comprador, id_usuario_vendedor</t>
  </si>
  <si>
    <t>seguidor</t>
  </si>
  <si>
    <t>Relación que permite a un usuario seguir a otro para visualizar sus publicaciones en el feed personal.</t>
  </si>
  <si>
    <t>Origen: Relación M:N Usuario — sigue — Usuario | PK: id_seguidor | FK: id_usuario_seguidor, id_usuario_seguido | UK compuesta: (id_usuario_seguidor, id_usuario_seguido)</t>
  </si>
  <si>
    <t>usuario_interes</t>
  </si>
  <si>
    <t>Relaciona a cada usuario con los intereses que tiene, permitiendo registrar uno o varios intereses por usuario.</t>
  </si>
  <si>
    <t>Origen: Relación M:N Usuario — tiene — Interes | PK: id_usuario_interes | FK: id_usuario, id_interes | UK compuesta: (id_usuario, id_interes)</t>
  </si>
  <si>
    <t>usuario_habilidad</t>
  </si>
  <si>
    <t>Relaciona a cada usuario con las habilidades que posee, permitiendo registrar una o varias habilidades por usuario.</t>
  </si>
  <si>
    <t>Origen: Relación M:N Usuario — tiene — Habilidad | PK: id_usuario_habilidad | FK: id_usuario, id_habilidad | UK compuesta: (id_usuario, id_habilidad)</t>
  </si>
  <si>
    <t>usuario_grupo</t>
  </si>
  <si>
    <t>Registra los grupos a los que pertenece cada usuario, permitiendo que un grupo tenga varios miembros y un usuario participe en varios grupos.</t>
  </si>
  <si>
    <t>Origen: Relación M:N Usuario — pertenece — Grupo | PK: id_usuario_grupo | FK: id_usuario, id_grupo | UK compuesta: (id_usuario, id_grupo)</t>
  </si>
  <si>
    <t>usuario_evento</t>
  </si>
  <si>
    <t>Registra la participación de los usuarios en los eventos, permitiendo que un evento tenga varios asistentes y un usuario asista a varios eventos.</t>
  </si>
  <si>
    <t>Origen: Relación M:N Usuario — participa — Evento | PK: id_usuario_evento | FK: id_usuario, id_evento | UK compuesta: (id_usuario, id_evento)</t>
  </si>
  <si>
    <t>publicacion_etiqueta</t>
  </si>
  <si>
    <t>Relaciona las publicaciones con sus etiquetas temáticas, permitiendo asignar una o varias etiquetas a cada publicación.</t>
  </si>
  <si>
    <t>Origen: Relación M:N Publicacion — etiqueta — Etiqueta | PK: id_publicacion_etiqueta | FK: id_publicacion, id_etiqueta | UK compuesta: (id_publicacion, id_etiqueta)</t>
  </si>
  <si>
    <t>chat_usuario</t>
  </si>
  <si>
    <t>Registra los usuarios que participan en cada chat, permitiendo conversaciones con varios participantes.</t>
  </si>
  <si>
    <t>Origen: Relación M:N Usuario — participa — Chat | PK: id_chat_usuario | FK: id_chat, id_usuario | UK compuesta: (id_chat, id_usuario)</t>
  </si>
  <si>
    <t>venta_producto</t>
  </si>
  <si>
    <t>Detalle de los productos incluidos en cada venta, con la cantidad y el precio unitario acordados.</t>
  </si>
  <si>
    <t>Origen: Relación M:N Venta — incluye — Producto | PK: id_venta_producto | FK: id_venta, id_producto | UK compuesta: (id_venta, id_producto)</t>
  </si>
  <si>
    <t>venta_servicio</t>
  </si>
  <si>
    <t>Detalle de los servicios incluidos en cada venta, con el precio acordado.</t>
  </si>
  <si>
    <t>Origen: Relación M:N Venta — incluye — Servicio | PK: id_venta_servicio | FK: id_venta, id_servicio | UK compuesta: (id_venta, id_servicio)</t>
  </si>
  <si>
    <t>venta_evento</t>
  </si>
  <si>
    <t>Detalle de los eventos incluidos en cada venta (por ejemplo, entradas), con la cantidad y el precio unitario.</t>
  </si>
  <si>
    <t>Origen: Relación M:N Venta — incluye — Evento | PK: id_venta_evento | FK: id_venta, id_evento | UK compuesta: (id_venta, id_evento)</t>
  </si>
  <si>
    <t>Tipos de Datos - Tabla Comparativa</t>
  </si>
  <si>
    <t>Tipo de Dato Genérico</t>
  </si>
  <si>
    <t>Tipos de Dato - PosgreSQL</t>
  </si>
  <si>
    <t>BYTES</t>
  </si>
  <si>
    <t>AUTOINCREMENTABLE</t>
  </si>
  <si>
    <t>SERIAL (equivale a INTEGER con secuencia; alternativa: INTEGER GENERATED ALWAYS AS IDENTITY)</t>
  </si>
  <si>
    <t>4</t>
  </si>
  <si>
    <t>Usado en todas las llaves primarias. Si se espera más de 2 mil millones de filas se usa BIGSERIAL (8 bytes).</t>
  </si>
  <si>
    <t>UUID</t>
  </si>
  <si>
    <t>16</t>
  </si>
  <si>
    <t>Identificador universal. No se usa en este modelo; se deja como referencia.</t>
  </si>
  <si>
    <t>ENTERO</t>
  </si>
  <si>
    <t>INTEGER</t>
  </si>
  <si>
    <t>Llaves foráneas y cantidades. Alternativas: SMALLINT (2 bytes) y BIGINT (8 bytes). En PostgreSQL el INTEGER no usa ancho de visualización; el tamaño 11 del diccionario se conserva de la tarea 2.</t>
  </si>
  <si>
    <t>DECIMAL</t>
  </si>
  <si>
    <t>NUMERIC(p,s)</t>
  </si>
  <si>
    <t>Variable (2 bytes por cada 4 dígitos + cabecera de 5 a 8 bytes)</t>
  </si>
  <si>
    <t>Valores monetarios exactos. Se usa NUMERIC(10,2) en precio, precio_unitario y total.</t>
  </si>
  <si>
    <t>LÓGICO</t>
  </si>
  <si>
    <t>BOOLEAN</t>
  </si>
  <si>
    <t>1</t>
  </si>
  <si>
    <t>Valores TRUE / FALSE. Usado en notificacion.leida.</t>
  </si>
  <si>
    <t>TEXTO</t>
  </si>
  <si>
    <t>TEXT</t>
  </si>
  <si>
    <t>Variable (1 o 4 bytes de cabecera + contenido)</t>
  </si>
  <si>
    <t>Texto sin límite de longitud. En este modelo los textos largos se limitan con VARCHAR(n) para conservar el tamaño definido en la tarea 2.</t>
  </si>
  <si>
    <t>CARACTER</t>
  </si>
  <si>
    <t>CHAR(n)</t>
  </si>
  <si>
    <t>n (+ 1 byte de cabecera)</t>
  </si>
  <si>
    <t>Cadena de longitud fija, rellena con espacios. No se usa en este modelo.</t>
  </si>
  <si>
    <t>FECHA</t>
  </si>
  <si>
    <t>DATE</t>
  </si>
  <si>
    <t>Solo fecha. Usado en evento.fecha.</t>
  </si>
  <si>
    <t>FECHA_HORA</t>
  </si>
  <si>
    <t>TIMESTAMP</t>
  </si>
  <si>
    <t>8</t>
  </si>
  <si>
    <t>Fecha y hora sin zona horaria. Usado en fechas de publicación, comentario, mensaje, venta, etc. Para solo hora se usa TIME (8 bytes), como en evento.hora.</t>
  </si>
  <si>
    <t>IMAGEN</t>
  </si>
  <si>
    <t>BYTEA</t>
  </si>
  <si>
    <t>No se usa: las imágenes se almacenan como URL (VARCHAR) y no como binario dentro de la base.</t>
  </si>
  <si>
    <t>AUDIO</t>
  </si>
  <si>
    <t>No se usa en este modelo; los archivos de audio se referenciarían por URL.</t>
  </si>
  <si>
    <t>URL</t>
  </si>
  <si>
    <t>VARCHAR(255)</t>
  </si>
  <si>
    <t>Variable (1 o 4 bytes de cabecera + longitud real)</t>
  </si>
  <si>
    <t>Usado en foto_perfil_url y contenido_multimedia.</t>
  </si>
  <si>
    <t>ENUM</t>
  </si>
  <si>
    <t>CREATE TYPE … AS ENUM (…)</t>
  </si>
  <si>
    <t>No se usa; el dominio de estado_publicacion (PUBLICADO, OCULTO, ELIMINADO) se define con VARCHAR(20) como en la tarea 2.</t>
  </si>
  <si>
    <t>TEXTO_CORTO (opcional)</t>
  </si>
  <si>
    <t>VARCHAR(n)</t>
  </si>
  <si>
    <t>Nombres, correo, descripciones cortas y estados. Es el tipo más usado en el modelo.</t>
  </si>
  <si>
    <t>BINARIO (opcional)</t>
  </si>
  <si>
    <t>Datos binarios arbitrarios. No se usa en este modelo.</t>
  </si>
  <si>
    <t>JSON</t>
  </si>
  <si>
    <t>JSONB</t>
  </si>
  <si>
    <t>Variable (según el contenido)</t>
  </si>
  <si>
    <t>Datos semiestructurados indexables. No se usa en las tablas finales; JSON guarda el texto tal cual y JSONB lo almacena en binario.</t>
  </si>
  <si>
    <t>DICCIONARIO DE DATOS FÍSICO (PostgreSQL)</t>
  </si>
  <si>
    <t>Inventario de Tablas</t>
  </si>
  <si>
    <t>Tablas en Detalle</t>
  </si>
  <si>
    <t>Versión</t>
  </si>
  <si>
    <t>1.0</t>
  </si>
  <si>
    <t>Campo</t>
  </si>
  <si>
    <t>Descripción Campo</t>
  </si>
  <si>
    <t>Tipo Dato
(PostgreSQL)</t>
  </si>
  <si>
    <t>Tamaño / Longitud</t>
  </si>
  <si>
    <t>Nulo</t>
  </si>
  <si>
    <t>PK</t>
  </si>
  <si>
    <t>FK</t>
  </si>
  <si>
    <t>UK</t>
  </si>
  <si>
    <t>Nota/Comentarios</t>
  </si>
  <si>
    <t>id_usuario</t>
  </si>
  <si>
    <t>Identificador numérico único y autoincrementable que distingue a cada usuario dentro del sistema. Es la llave primaria de la tabla.</t>
  </si>
  <si>
    <t>SERIAL</t>
  </si>
  <si>
    <t>11</t>
  </si>
  <si>
    <t>No</t>
  </si>
  <si>
    <t>S</t>
  </si>
  <si>
    <t>id_rol</t>
  </si>
  <si>
    <t>Llave foránea que enlaza al usuario con el rol que determina sus permisos dentro del sistema.</t>
  </si>
  <si>
    <t>FK → rol(id_rol).</t>
  </si>
  <si>
    <t>id_tipo_usuario</t>
  </si>
  <si>
    <t>Llave foránea que enlaza al usuario con su clasificación académica o profesional.</t>
  </si>
  <si>
    <t>FK → tipo_usuario(id_tipo_usuario).</t>
  </si>
  <si>
    <t>nombre_completo</t>
  </si>
  <si>
    <t>Nombres y apellidos reales de la persona, utilizados para identificación personal en el perfil y en la interfaz de la red social.</t>
  </si>
  <si>
    <t>VARCHAR</t>
  </si>
  <si>
    <t>nombre_usuario</t>
  </si>
  <si>
    <t>Alias público único (handle) que el usuario elige para ser identificado, mencionado y etiquetado dentro de la Red Social.</t>
  </si>
  <si>
    <t>50</t>
  </si>
  <si>
    <t>correo</t>
  </si>
  <si>
    <t>Dirección de correo electrónico única asociada a la cuenta, utilizada como medio de contacto, recuperación de contraseña y para iniciar sesión en la plataforma.</t>
  </si>
  <si>
    <t>150</t>
  </si>
  <si>
    <t>contraseña</t>
  </si>
  <si>
    <t>Clave de acceso personal del usuario; se almacena encriptada (hash) por motivos de seguridad y es obligatoria para la autenticación en el sistema.</t>
  </si>
  <si>
    <t>255</t>
  </si>
  <si>
    <t>Se almacena cifrada (hash), nunca en texto plano.</t>
  </si>
  <si>
    <t>N</t>
  </si>
  <si>
    <t xml:space="preserve">NOTA: En las columnas PK, FK y UK debe colocar  “S”  solamente cuando aplique. En la columna “Nulo” coloque “No” en caso de que el campo debe estar valorizado
</t>
  </si>
  <si>
    <t>Identificador numérico único que distingue a cada tipo de rol dentro del sistema. Es la llave primaria de la tabla y se utiliza para referenciar el nivel de permisos de un usuario.</t>
  </si>
  <si>
    <t>nombre_rol</t>
  </si>
  <si>
    <t>Nombre corto y único que identifica al rol (Administrador, Auxiliar, Miembro o Visitante). Sirve para clasificar rápidamente el nivel de acceso y responsabilidad en la plataforma.</t>
  </si>
  <si>
    <t>30</t>
  </si>
  <si>
    <t>descripcion</t>
  </si>
  <si>
    <t>Texto explicativo que detalla las funciones, permisos y alcance de las acciones que puede realizar un usuario asignado a ese rol dentro de la Red Social.</t>
  </si>
  <si>
    <t>Sí</t>
  </si>
  <si>
    <t>Identificador numérico único para cada clasificación de usuario.</t>
  </si>
  <si>
    <t>nombre_tipo</t>
  </si>
  <si>
    <t>Nombre corto de la clasificación (ej. "Estudiante", "Egresado"). Es único para evitar duplicados.</t>
  </si>
  <si>
    <t>Breve explicación de a quién pertenece ese tipo de usuario y su propósito en la red (ej. "Usuario activo de pregrado").</t>
  </si>
  <si>
    <t>id_perfil</t>
  </si>
  <si>
    <t>Identificador único del perfil de usuario.</t>
  </si>
  <si>
    <t>Llave foránea que enlaza el perfil con su dueño.</t>
  </si>
  <si>
    <t>Relación 1:1: FK único (UK) hacia el usuario dueño del perfil. FK → usuario(id_usuario).</t>
  </si>
  <si>
    <t>foto_perfil_url</t>
  </si>
  <si>
    <t>Enlace (URL) a la imagen de perfil del usuario.</t>
  </si>
  <si>
    <t>biografia</t>
  </si>
  <si>
    <t>Descripción personal corta que el usuario escribe para presentarse ante la comunidad.</t>
  </si>
  <si>
    <t>500</t>
  </si>
  <si>
    <t>fecha_actualizacion</t>
  </si>
  <si>
    <t>Fecha y hora de la última modificación realizada al perfil. Se actualiza automáticamente.</t>
  </si>
  <si>
    <t>Se actualiza automáticamente en cada modificación.</t>
  </si>
  <si>
    <t>id_interes</t>
  </si>
  <si>
    <t>Identificador único del interés.</t>
  </si>
  <si>
    <t>nombre_interes</t>
  </si>
  <si>
    <t>Nombre del interés registrado (ej. Fotografía, Videojuegos, Lectura).</t>
  </si>
  <si>
    <t>id_habilidad</t>
  </si>
  <si>
    <t>Identificador único de la habilidad.</t>
  </si>
  <si>
    <t>nombre_habilidad</t>
  </si>
  <si>
    <t>Nombre de la habilidad registrada (ej. Programación, Diseño gráfico).</t>
  </si>
  <si>
    <t>id_publicacion</t>
  </si>
  <si>
    <t>Identificador único para cada publicación realizada en la red social.</t>
  </si>
  <si>
    <t>Llave foránea que indica el autor de la publicación (quien la escribe).</t>
  </si>
  <si>
    <t>FK → usuario(id_usuario).</t>
  </si>
  <si>
    <t>contenido_texto</t>
  </si>
  <si>
    <t>Cuerpo principal del mensaje, pregunta, noticia o meme que el usuario quiere compartir.</t>
  </si>
  <si>
    <t>1000</t>
  </si>
  <si>
    <t>contenido_multimedia</t>
  </si>
  <si>
    <t>Enlace (URL) opcional a imágenes, videos o documentos adjuntos a la publicación.</t>
  </si>
  <si>
    <t>fecha_hora_publicacion</t>
  </si>
  <si>
    <t>Momento exacto en que se publicó el contenido (por defecto, la fecha y hora actual).</t>
  </si>
  <si>
    <t>Valor por defecto: fecha y hora actual.</t>
  </si>
  <si>
    <t>estado_publicacion</t>
  </si>
  <si>
    <t>Controla la visibilidad: PUBLICADO, OCULTO (por el usuario) o ELIMINADO (por moderación).</t>
  </si>
  <si>
    <t>20</t>
  </si>
  <si>
    <t>Dominio: PUBLICADO, OCULTO, ELIMINADO.</t>
  </si>
  <si>
    <t>id_comentario</t>
  </si>
  <si>
    <t>Identificador único para cada comentario realizado en una publicación.</t>
  </si>
  <si>
    <t>Llave foránea que indica a qué publicación pertenece este comentario.</t>
  </si>
  <si>
    <t>FK → publicacion(id_publicacion).</t>
  </si>
  <si>
    <t>Llave foránea que indica el autor del comentario (diferente al de la publicación).</t>
  </si>
  <si>
    <t>contenido_comentario</t>
  </si>
  <si>
    <t>Texto escrito por el usuario como respuesta, opinión o aporte sobre la publicación.</t>
  </si>
  <si>
    <t>fecha_hora_comentario</t>
  </si>
  <si>
    <t>Fecha y hora exacta en que se dejó el comentario (por defecto, la actual).</t>
  </si>
  <si>
    <t>id_comentario_padre</t>
  </si>
  <si>
    <t>Permite responder a un comentario específico (autorreferencia a la misma tabla).</t>
  </si>
  <si>
    <t>Autorreferencia: FK hacia id_comentario de la misma tabla.</t>
  </si>
  <si>
    <t>id_grupo</t>
  </si>
  <si>
    <t>Identificador único de la comunidad o equipo.</t>
  </si>
  <si>
    <t>id_usuario_creador</t>
  </si>
  <si>
    <t>Usuario participante que fundó o administra el grupo.</t>
  </si>
  <si>
    <t>nombre_grupo</t>
  </si>
  <si>
    <t>Nombre público de la agrupación (Equipo de Hackatón, Club de videojuegos).</t>
  </si>
  <si>
    <t>80</t>
  </si>
  <si>
    <t>id_tipo_servicio</t>
  </si>
  <si>
    <t>Código único de la categoría del servicio.</t>
  </si>
  <si>
    <t>Clasificación amplia del servicio (Cambalache, Tutoría, Cursos).</t>
  </si>
  <si>
    <t>Detalle explícito de las características del tipo de oferta.</t>
  </si>
  <si>
    <t>id_servicio</t>
  </si>
  <si>
    <t>Identificador único del servicio publicado.</t>
  </si>
  <si>
    <t>Categoría a la que pertenece el servicio.</t>
  </si>
  <si>
    <t>FK → tipo_servicio(id_tipo_servicio).</t>
  </si>
  <si>
    <t>Usuario participante que promociona o presta el servicio.</t>
  </si>
  <si>
    <t>precio</t>
  </si>
  <si>
    <t>Tarifa monetaria, tasa o modalidad de intercambio solicitada.</t>
  </si>
  <si>
    <t>NUMERIC</t>
  </si>
  <si>
    <t>10,2</t>
  </si>
  <si>
    <t>id_tipo_producto</t>
  </si>
  <si>
    <t>Código único de la categoría de producto.</t>
  </si>
  <si>
    <t>Clasificación del bien físico o digital (Libros, Ropa, Vehículos).</t>
  </si>
  <si>
    <t>Explicación de los bienes comprendidos en la categoría.</t>
  </si>
  <si>
    <t>id_producto</t>
  </si>
  <si>
    <t>Identificador único del artículo registrado para venta.</t>
  </si>
  <si>
    <t>Enlace a la categoría de producto.</t>
  </si>
  <si>
    <t>FK → tipo_producto(id_tipo_producto).</t>
  </si>
  <si>
    <t>Usuario participante que pone en venta el artículo.</t>
  </si>
  <si>
    <t>Costo económico establecido para la venta.</t>
  </si>
  <si>
    <t>id_tipo_evento</t>
  </si>
  <si>
    <t>Código único de la categoría de los tipos de evento.</t>
  </si>
  <si>
    <t>Nombre de la modalidad de evento (Taller, Conferencia, Reunión de estudio).</t>
  </si>
  <si>
    <t>Alcance o dinámicas de las actividades agrupadas bajo esta categoría.</t>
  </si>
  <si>
    <t>id_evento</t>
  </si>
  <si>
    <t>Código único de los eventos.</t>
  </si>
  <si>
    <t>Categoría específica a la cual pertenece el evento.</t>
  </si>
  <si>
    <t>FK → tipo_evento(id_tipo_evento).</t>
  </si>
  <si>
    <t>id_usuario_organizador</t>
  </si>
  <si>
    <t>Usuario organizador del evento.</t>
  </si>
  <si>
    <t>fecha</t>
  </si>
  <si>
    <t>Indica el día exacto en que va a suceder el evento.</t>
  </si>
  <si>
    <t>hora</t>
  </si>
  <si>
    <t>Indica el tiempo específico en que inicia el evento.</t>
  </si>
  <si>
    <t>TIME</t>
  </si>
  <si>
    <t>lugar</t>
  </si>
  <si>
    <t>Instancia física o virtual donde se realizará el evento.</t>
  </si>
  <si>
    <t>id_etiqueta</t>
  </si>
  <si>
    <t>Código único de la etiqueta.</t>
  </si>
  <si>
    <t>nombre_etiqueta</t>
  </si>
  <si>
    <t>Nombre de la etiqueta temática (ej. académico, deportes, noticias).</t>
  </si>
  <si>
    <t>id_chat</t>
  </si>
  <si>
    <t>Código único para cada chat.</t>
  </si>
  <si>
    <t>fecha_creacion</t>
  </si>
  <si>
    <t>Fecha y hora en que se creó el chat (por defecto, la actual).</t>
  </si>
  <si>
    <t>id_mensaje</t>
  </si>
  <si>
    <t>Identificador único de cada mensaje.</t>
  </si>
  <si>
    <t>Llave foránea que indica el chat al que pertenece el mensaje.</t>
  </si>
  <si>
    <t>FK → chat(id_chat).</t>
  </si>
  <si>
    <t>id_usuario_emisor</t>
  </si>
  <si>
    <t>Llave foránea que indica el usuario que envía el mensaje.</t>
  </si>
  <si>
    <t>contenido_mensaje</t>
  </si>
  <si>
    <t>Texto escrito por el usuario emisor dentro del chat.</t>
  </si>
  <si>
    <t>fecha_hora_envio</t>
  </si>
  <si>
    <t>Fecha y hora exacta en que se envió el mensaje (por defecto, la actual).</t>
  </si>
  <si>
    <t>id_resena</t>
  </si>
  <si>
    <t>Identificador único de cada reseña.</t>
  </si>
  <si>
    <t>id_usuario_autor</t>
  </si>
  <si>
    <t>Usuario que redacta la reseña.</t>
  </si>
  <si>
    <t>Servicio sobre el cual el usuario deja la reseña.</t>
  </si>
  <si>
    <t>Solo uno de id_servicio, id_producto o id_evento debe estar valorizado. FK → servicio(id_servicio).</t>
  </si>
  <si>
    <t>Producto sobre el cual el usuario deja la reseña.</t>
  </si>
  <si>
    <t>Solo uno de id_servicio, id_producto o id_evento debe estar valorizado. FK → producto(id_producto).</t>
  </si>
  <si>
    <t>Evento sobre el cual el usuario deja la reseña.</t>
  </si>
  <si>
    <t>Solo uno de id_servicio, id_producto o id_evento debe estar valorizado. FK → evento(id_evento).</t>
  </si>
  <si>
    <t>calificacion</t>
  </si>
  <si>
    <t>Evaluación numérica otorgada por el usuario autor (escala de 1 a 5).</t>
  </si>
  <si>
    <t>Dominio: 1 a 5.</t>
  </si>
  <si>
    <t>comentario_resena</t>
  </si>
  <si>
    <t>Texto con la opinión del usuario autor sobre el servicio, producto o evento.</t>
  </si>
  <si>
    <t>id_notificacion</t>
  </si>
  <si>
    <t>Código único de las notificaciones.</t>
  </si>
  <si>
    <t>id_usuario_destino</t>
  </si>
  <si>
    <t>Usuario que recibe la notificación sobre algo relevante.</t>
  </si>
  <si>
    <t>Indica si la notificación se originó por una interacción sobre una publicación.</t>
  </si>
  <si>
    <t>Indica si la notificación se originó por una respuesta o interacción sobre un comentario.</t>
  </si>
  <si>
    <t>FK → comentario(id_comentario).</t>
  </si>
  <si>
    <t>leida</t>
  </si>
  <si>
    <t>Indica si el usuario destinatario ya vio la notificación.</t>
  </si>
  <si>
    <t>Valor por defecto: Falso.</t>
  </si>
  <si>
    <t>fecha_hora_notificacion</t>
  </si>
  <si>
    <t>Fecha y hora exacta en que se generó la notificación (por defecto, la actual).</t>
  </si>
  <si>
    <t>id_venta</t>
  </si>
  <si>
    <t>Identificador único de la venta.</t>
  </si>
  <si>
    <t>id_usuario_comprador</t>
  </si>
  <si>
    <t>Usuario que realiza la compra.</t>
  </si>
  <si>
    <t>id_usuario_vendedor</t>
  </si>
  <si>
    <t>Usuario que realiza la venta.</t>
  </si>
  <si>
    <t>fecha_hora_venta</t>
  </si>
  <si>
    <t>Fecha y hora exacta en que se registró la venta (por defecto, la actual).</t>
  </si>
  <si>
    <t>total</t>
  </si>
  <si>
    <t>Monto económico total de la venta.</t>
  </si>
  <si>
    <t>id_seguidor</t>
  </si>
  <si>
    <t>Código único del registro de seguimiento.</t>
  </si>
  <si>
    <t>id_usuario_seguidor</t>
  </si>
  <si>
    <t>Persona que sigue a otro usuario para ver sus publicaciones.</t>
  </si>
  <si>
    <t>FK → usuario(id_usuario). Restricción UNIQUE compuesta (id_usuario_seguidor, id_usuario_seguido) para evitar duplicados.</t>
  </si>
  <si>
    <t>id_usuario_seguido</t>
  </si>
  <si>
    <t>Persona que es seguida por otro usuario.</t>
  </si>
  <si>
    <t>id_usuario_interes</t>
  </si>
  <si>
    <t>Identificador único del registro de interés.</t>
  </si>
  <si>
    <t>Usuario al que pertenece el interés registrado.</t>
  </si>
  <si>
    <t>FK → usuario(id_usuario). Restricción UNIQUE compuesta (id_usuario, id_interes) para evitar duplicados.</t>
  </si>
  <si>
    <t>Interés asociado al usuario.</t>
  </si>
  <si>
    <t>FK → interes(id_interes). Restricción UNIQUE compuesta (id_usuario, id_interes) para evitar duplicados.</t>
  </si>
  <si>
    <t>id_usuario_habilidad</t>
  </si>
  <si>
    <t>Identificador único del registro de habilidad.</t>
  </si>
  <si>
    <t>Usuario que posee la habilidad registrada.</t>
  </si>
  <si>
    <t>FK → usuario(id_usuario). Restricción UNIQUE compuesta (id_usuario, id_habilidad) para evitar duplicados.</t>
  </si>
  <si>
    <t>Habilidad asociada al usuario.</t>
  </si>
  <si>
    <t>FK → habilidad(id_habilidad). Restricción UNIQUE compuesta (id_usuario, id_habilidad) para evitar duplicados.</t>
  </si>
  <si>
    <t>id_usuario_grupo</t>
  </si>
  <si>
    <t>Identificador único del registro de pertenencia.</t>
  </si>
  <si>
    <t>Usuario que es miembro del grupo.</t>
  </si>
  <si>
    <t>FK → usuario(id_usuario). Restricción UNIQUE compuesta (id_usuario, id_grupo) para evitar duplicados.</t>
  </si>
  <si>
    <t>Grupo al que pertenece el usuario.</t>
  </si>
  <si>
    <t>FK → grupo(id_grupo). Restricción UNIQUE compuesta (id_usuario, id_grupo) para evitar duplicados.</t>
  </si>
  <si>
    <t>id_usuario_evento</t>
  </si>
  <si>
    <t>Identificador único del registro de participación.</t>
  </si>
  <si>
    <t>Usuario que participa en el evento.</t>
  </si>
  <si>
    <t>FK → usuario(id_usuario). Restricción UNIQUE compuesta (id_usuario, id_evento) para evitar duplicados.</t>
  </si>
  <si>
    <t>Evento en el que participa el usuario.</t>
  </si>
  <si>
    <t>FK → evento(id_evento). Restricción UNIQUE compuesta (id_usuario, id_evento) para evitar duplicados.</t>
  </si>
  <si>
    <t>id_publicacion_etiqueta</t>
  </si>
  <si>
    <t>Identificador único del registro de relación.</t>
  </si>
  <si>
    <t>Publicación que recibe la etiqueta temática.</t>
  </si>
  <si>
    <t>FK → publicacion(id_publicacion). Restricción UNIQUE compuesta (id_publicacion, id_etiqueta) para evitar duplicados.</t>
  </si>
  <si>
    <t>Etiqueta temática asignada a la publicación.</t>
  </si>
  <si>
    <t>FK → etiqueta(id_etiqueta). Restricción UNIQUE compuesta (id_publicacion, id_etiqueta) para evitar duplicados.</t>
  </si>
  <si>
    <t>id_chat_usuario</t>
  </si>
  <si>
    <t>Identificador único del registro de participación en el chat.</t>
  </si>
  <si>
    <t>Chat en el que participa el usuario.</t>
  </si>
  <si>
    <t>FK → chat(id_chat). Restricción UNIQUE compuesta (id_chat, id_usuario) para evitar duplicados.</t>
  </si>
  <si>
    <t>Usuario que participa en el chat.</t>
  </si>
  <si>
    <t>FK → usuario(id_usuario). Restricción UNIQUE compuesta (id_chat, id_usuario) para evitar duplicados.</t>
  </si>
  <si>
    <t>id_venta_producto</t>
  </si>
  <si>
    <t>Identificador único del renglón de producto dentro de la venta.</t>
  </si>
  <si>
    <t>Venta a la que pertenece el renglón.</t>
  </si>
  <si>
    <t>FK → venta(id_venta). Restricción UNIQUE compuesta (id_venta, id_producto) para evitar duplicados.</t>
  </si>
  <si>
    <t>Producto incluido en la venta.</t>
  </si>
  <si>
    <t>FK → producto(id_producto). Restricción UNIQUE compuesta (id_venta, id_producto) para evitar duplicados.</t>
  </si>
  <si>
    <t>cantidad</t>
  </si>
  <si>
    <t>Número de unidades del producto incluidas en la venta.</t>
  </si>
  <si>
    <t>precio_unitario</t>
  </si>
  <si>
    <t>Precio acordado por cada unidad del producto al momento de la venta.</t>
  </si>
  <si>
    <t>id_venta_servicio</t>
  </si>
  <si>
    <t>Identificador único del renglón de servicio dentro de la venta.</t>
  </si>
  <si>
    <t>FK → venta(id_venta). Restricción UNIQUE compuesta (id_venta, id_servicio) para evitar duplicados.</t>
  </si>
  <si>
    <t>Servicio incluido en la venta.</t>
  </si>
  <si>
    <t>FK → servicio(id_servicio). Restricción UNIQUE compuesta (id_venta, id_servicio) para evitar duplicados.</t>
  </si>
  <si>
    <t>Precio acordado por el servicio al momento de la venta.</t>
  </si>
  <si>
    <t>id_venta_evento</t>
  </si>
  <si>
    <t>Identificador único del renglón de evento dentro de la venta.</t>
  </si>
  <si>
    <t>FK → venta(id_venta). Restricción UNIQUE compuesta (id_venta, id_evento) para evitar duplicados.</t>
  </si>
  <si>
    <t>Evento incluido en la venta.</t>
  </si>
  <si>
    <t>FK → evento(id_evento). Restricción UNIQUE compuesta (id_venta, id_evento) para evitar duplicados.</t>
  </si>
  <si>
    <t>Número de entradas o cupos del evento incluidos en la venta.</t>
  </si>
  <si>
    <t>Precio acordado por cada entrada o cupo del evento.</t>
  </si>
  <si>
    <t xml:space="preserve">Puede seguir agregando tablas. Solamente tiene que copiar y pegar hacia abajo hasta que complete todas las tablas </t>
  </si>
  <si>
    <t>DOMINIO</t>
  </si>
  <si>
    <t>1 a 2,147,483,647</t>
  </si>
  <si>
    <t xml:space="preserve">
Se representa como una cadena de 32 dígitos hexadecimales 
</t>
  </si>
  <si>
    <t xml:space="preserve">	-2,147,483,648 a +2,147,483,647</t>
  </si>
  <si>
    <t>NUMERIC(4,2)	2 dígitos	2 dígitos	-99.99 a +99.99
NUMERIC(6,0)	6 dígitos	0 dígitos	-999,999 a +999,999
NUMERIC(5,4)	1 dígito	4 dígitos	-9.9999 a +9.9999</t>
  </si>
  <si>
    <t xml:space="preserve">	't' (o TRUE)/	'f' (o FALSE)</t>
  </si>
  <si>
    <t xml:space="preserve">	Hasta 1 GB</t>
  </si>
  <si>
    <t>Exactamente n caracteres</t>
  </si>
  <si>
    <t>• Límite inferior: 4713 a. C. (Antes de Cristo / BC)
• Límite superior: 5,874,897 d. C. (Después de Cristo / AD)</t>
  </si>
  <si>
    <t>• Límite Inferior: 4713 a. C.
• Límite Superior: 294,276 d. C.
• Precisión por defecto: 6 dígitos en los microsegundos.</t>
  </si>
  <si>
    <t>Límite Máximo Absoluto: Puede almacenar cadenas binarias de hasta 1 Gigabyte (GB) por celda.</t>
  </si>
  <si>
    <t>255 caracteres.</t>
  </si>
  <si>
    <t>el conjunto exacto de las etiquetas de texto que escribiste entre comillas dentro de los paréntesis durante su creación, más el valor NULL (a menos que se restrinja).</t>
  </si>
  <si>
    <t>Máximo n caracteres</t>
  </si>
  <si>
    <t>Límite Máximo Absoluto: puede pesar hasta 1 Gigabyte (GB) en su representación binaria.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</si>
</sst>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b/>
      <sz val="12"/>
      <color rgb="FF000000"/>
      <name val="Calibri"/>
      <charset val="1"/>
    </font>
    <font>
      <b/>
      <sz val="14"/>
      <color rgb="FFFFFFFF"/>
      <name val="Calibri"/>
      <charset val="1"/>
    </font>
    <font>
      <b/>
      <sz val="18"/>
      <color rgb="FFFFFFFF"/>
      <name val="Calibri"/>
      <charset val="1"/>
    </font>
    <font>
      <b/>
      <sz val="12"/>
      <color theme="1"/>
      <name val="Calibri"/>
      <charset val="1"/>
    </font>
    <font>
      <sz val="12"/>
      <name val="Calibri"/>
      <charset val="1"/>
    </font>
    <font>
      <b/>
      <sz val="12"/>
      <color rgb="FFFFFFFF"/>
      <name val="Calibri"/>
      <charset val="1"/>
    </font>
    <font>
      <b/>
      <sz val="12"/>
      <name val="Calibri"/>
      <charset val="1"/>
    </font>
    <font>
      <sz val="12"/>
      <color theme="1"/>
      <name val="Calibri"/>
      <charset val="1"/>
    </font>
    <font>
      <sz val="11"/>
      <name val="Calibri"/>
      <charset val="1"/>
    </font>
    <font>
      <b/>
      <sz val="12"/>
      <color rgb="FF0000FF"/>
      <name val="Calibri"/>
      <charset val="1"/>
    </font>
    <font>
      <i/>
      <sz val="12"/>
      <color rgb="FF666666"/>
      <name val="Calibri"/>
      <charset val="1"/>
    </font>
    <font>
      <b/>
      <i/>
      <sz val="12"/>
      <color rgb="FFE06666"/>
      <name val="Calibri"/>
      <charset val="1"/>
    </font>
    <font>
      <b/>
      <sz val="10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808080"/>
      </patternFill>
    </fill>
    <fill>
      <patternFill patternType="solid">
        <fgColor rgb="FFFFFFFF"/>
        <bgColor rgb="FFFFF2CC"/>
      </patternFill>
    </fill>
    <fill>
      <patternFill patternType="solid">
        <fgColor rgb="FFC1F2F6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CFE2F3"/>
        <bgColor rgb="FFC1F2F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1F2F6"/>
      <rgbColor rgb="FF660066"/>
      <rgbColor rgb="FFE06666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9</xdr:col>
      <xdr:colOff>542925</xdr:colOff>
      <xdr:row>26</xdr:row>
      <xdr:rowOff>38099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907076-0F75-9936-FD62-2C42A76E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"/>
          <a:ext cx="8086724" cy="4362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24:K34"/>
  <sheetViews>
    <sheetView zoomScale="90" zoomScaleNormal="90" workbookViewId="0">
      <selection activeCell="O8" sqref="O8"/>
    </sheetView>
  </sheetViews>
  <sheetFormatPr baseColWidth="10" defaultColWidth="12.5703125" defaultRowHeight="12.75" x14ac:dyDescent="0.2"/>
  <sheetData>
    <row r="24" spans="11:11" ht="15.75" x14ac:dyDescent="0.25">
      <c r="K24" s="7"/>
    </row>
    <row r="25" spans="11:11" ht="15.75" x14ac:dyDescent="0.25">
      <c r="K25" s="7"/>
    </row>
    <row r="26" spans="11:11" ht="15.75" x14ac:dyDescent="0.25">
      <c r="K26" s="7"/>
    </row>
    <row r="27" spans="11:11" ht="15.75" x14ac:dyDescent="0.25">
      <c r="K27" s="7"/>
    </row>
    <row r="28" spans="11:11" ht="15.75" x14ac:dyDescent="0.25">
      <c r="K28" s="7"/>
    </row>
    <row r="29" spans="11:11" ht="15.75" x14ac:dyDescent="0.25">
      <c r="K29" s="7"/>
    </row>
    <row r="30" spans="11:11" ht="15.75" x14ac:dyDescent="0.25">
      <c r="K30" s="7"/>
    </row>
    <row r="31" spans="11:11" ht="15.75" x14ac:dyDescent="0.25">
      <c r="K31" s="7"/>
    </row>
    <row r="32" spans="11:11" ht="15.75" x14ac:dyDescent="0.25">
      <c r="K32" s="7"/>
    </row>
    <row r="33" spans="11:11" ht="15.75" x14ac:dyDescent="0.25">
      <c r="K33" s="7"/>
    </row>
    <row r="34" spans="11:11" ht="15.75" x14ac:dyDescent="0.25">
      <c r="K34" s="7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Normal="100" workbookViewId="0">
      <selection sqref="A1:D1"/>
    </sheetView>
  </sheetViews>
  <sheetFormatPr baseColWidth="10" defaultColWidth="12.5703125" defaultRowHeight="12.75" x14ac:dyDescent="0.2"/>
  <cols>
    <col min="1" max="1" width="7" customWidth="1"/>
    <col min="2" max="2" width="29.5703125" customWidth="1"/>
    <col min="3" max="3" width="50.7109375" customWidth="1"/>
    <col min="4" max="4" width="39.42578125" customWidth="1"/>
  </cols>
  <sheetData>
    <row r="1" spans="1:9" ht="28.5" customHeight="1" x14ac:dyDescent="0.2">
      <c r="A1" s="19" t="s">
        <v>0</v>
      </c>
      <c r="B1" s="19"/>
      <c r="C1" s="19"/>
      <c r="D1" s="19"/>
      <c r="E1" s="8"/>
      <c r="F1" s="8"/>
      <c r="G1" s="8"/>
      <c r="H1" s="8"/>
      <c r="I1" s="8"/>
    </row>
    <row r="2" spans="1:9" ht="36" customHeight="1" x14ac:dyDescent="0.2">
      <c r="A2" s="9" t="s">
        <v>1</v>
      </c>
      <c r="B2" s="9" t="s">
        <v>2</v>
      </c>
      <c r="C2" s="9" t="s">
        <v>3</v>
      </c>
      <c r="D2" s="9" t="s">
        <v>4</v>
      </c>
    </row>
    <row r="3" spans="1:9" ht="55.5" customHeight="1" x14ac:dyDescent="0.2">
      <c r="A3" s="10">
        <v>1</v>
      </c>
      <c r="B3" s="5" t="s">
        <v>5</v>
      </c>
      <c r="C3" s="11" t="s">
        <v>6</v>
      </c>
      <c r="D3" s="11" t="s">
        <v>7</v>
      </c>
    </row>
    <row r="4" spans="1:9" ht="39.75" customHeight="1" x14ac:dyDescent="0.2">
      <c r="A4" s="10">
        <f t="shared" ref="A4:A33" si="0">A3+1</f>
        <v>2</v>
      </c>
      <c r="B4" s="5" t="s">
        <v>8</v>
      </c>
      <c r="C4" s="11" t="s">
        <v>9</v>
      </c>
      <c r="D4" s="11" t="s">
        <v>10</v>
      </c>
    </row>
    <row r="5" spans="1:9" ht="39.75" customHeight="1" x14ac:dyDescent="0.2">
      <c r="A5" s="10">
        <f t="shared" si="0"/>
        <v>3</v>
      </c>
      <c r="B5" s="5" t="s">
        <v>11</v>
      </c>
      <c r="C5" s="11" t="s">
        <v>12</v>
      </c>
      <c r="D5" s="11" t="s">
        <v>13</v>
      </c>
    </row>
    <row r="6" spans="1:9" ht="55.5" customHeight="1" x14ac:dyDescent="0.2">
      <c r="A6" s="10">
        <f t="shared" si="0"/>
        <v>4</v>
      </c>
      <c r="B6" s="5" t="s">
        <v>14</v>
      </c>
      <c r="C6" s="11" t="s">
        <v>15</v>
      </c>
      <c r="D6" s="11" t="s">
        <v>16</v>
      </c>
    </row>
    <row r="7" spans="1:9" ht="55.5" customHeight="1" x14ac:dyDescent="0.2">
      <c r="A7" s="10">
        <f t="shared" si="0"/>
        <v>5</v>
      </c>
      <c r="B7" s="5" t="s">
        <v>17</v>
      </c>
      <c r="C7" s="11" t="s">
        <v>18</v>
      </c>
      <c r="D7" s="11" t="s">
        <v>19</v>
      </c>
    </row>
    <row r="8" spans="1:9" ht="55.5" customHeight="1" x14ac:dyDescent="0.2">
      <c r="A8" s="10">
        <f t="shared" si="0"/>
        <v>6</v>
      </c>
      <c r="B8" s="5" t="s">
        <v>20</v>
      </c>
      <c r="C8" s="11" t="s">
        <v>21</v>
      </c>
      <c r="D8" s="11" t="s">
        <v>22</v>
      </c>
    </row>
    <row r="9" spans="1:9" ht="39.75" customHeight="1" x14ac:dyDescent="0.2">
      <c r="A9" s="10">
        <f t="shared" si="0"/>
        <v>7</v>
      </c>
      <c r="B9" s="5" t="s">
        <v>23</v>
      </c>
      <c r="C9" s="11" t="s">
        <v>24</v>
      </c>
      <c r="D9" s="11" t="s">
        <v>25</v>
      </c>
    </row>
    <row r="10" spans="1:9" ht="55.5" customHeight="1" x14ac:dyDescent="0.2">
      <c r="A10" s="10">
        <f t="shared" si="0"/>
        <v>8</v>
      </c>
      <c r="B10" s="5" t="s">
        <v>26</v>
      </c>
      <c r="C10" s="11" t="s">
        <v>27</v>
      </c>
      <c r="D10" s="11" t="s">
        <v>28</v>
      </c>
    </row>
    <row r="11" spans="1:9" ht="55.5" customHeight="1" x14ac:dyDescent="0.2">
      <c r="A11" s="10">
        <f t="shared" si="0"/>
        <v>9</v>
      </c>
      <c r="B11" s="5" t="s">
        <v>29</v>
      </c>
      <c r="C11" s="11" t="s">
        <v>30</v>
      </c>
      <c r="D11" s="11" t="s">
        <v>31</v>
      </c>
    </row>
    <row r="12" spans="1:9" ht="39.75" customHeight="1" x14ac:dyDescent="0.2">
      <c r="A12" s="10">
        <f t="shared" si="0"/>
        <v>10</v>
      </c>
      <c r="B12" s="5" t="s">
        <v>32</v>
      </c>
      <c r="C12" s="11" t="s">
        <v>33</v>
      </c>
      <c r="D12" s="11" t="s">
        <v>34</v>
      </c>
    </row>
    <row r="13" spans="1:9" ht="39.75" customHeight="1" x14ac:dyDescent="0.2">
      <c r="A13" s="10">
        <f t="shared" si="0"/>
        <v>11</v>
      </c>
      <c r="B13" s="5" t="s">
        <v>35</v>
      </c>
      <c r="C13" s="11" t="s">
        <v>36</v>
      </c>
      <c r="D13" s="11" t="s">
        <v>37</v>
      </c>
    </row>
    <row r="14" spans="1:9" ht="39.75" customHeight="1" x14ac:dyDescent="0.2">
      <c r="A14" s="10">
        <f t="shared" si="0"/>
        <v>12</v>
      </c>
      <c r="B14" s="5" t="s">
        <v>38</v>
      </c>
      <c r="C14" s="11" t="s">
        <v>39</v>
      </c>
      <c r="D14" s="11" t="s">
        <v>40</v>
      </c>
    </row>
    <row r="15" spans="1:9" ht="39.75" customHeight="1" x14ac:dyDescent="0.2">
      <c r="A15" s="10">
        <f t="shared" si="0"/>
        <v>13</v>
      </c>
      <c r="B15" s="5" t="s">
        <v>41</v>
      </c>
      <c r="C15" s="11" t="s">
        <v>42</v>
      </c>
      <c r="D15" s="11" t="s">
        <v>43</v>
      </c>
    </row>
    <row r="16" spans="1:9" ht="39.75" customHeight="1" x14ac:dyDescent="0.2">
      <c r="A16" s="10">
        <f t="shared" si="0"/>
        <v>14</v>
      </c>
      <c r="B16" s="5" t="s">
        <v>44</v>
      </c>
      <c r="C16" s="11" t="s">
        <v>45</v>
      </c>
      <c r="D16" s="11" t="s">
        <v>46</v>
      </c>
    </row>
    <row r="17" spans="1:4" ht="55.5" customHeight="1" x14ac:dyDescent="0.2">
      <c r="A17" s="10">
        <f t="shared" si="0"/>
        <v>15</v>
      </c>
      <c r="B17" s="5" t="s">
        <v>47</v>
      </c>
      <c r="C17" s="11" t="s">
        <v>48</v>
      </c>
      <c r="D17" s="11" t="s">
        <v>49</v>
      </c>
    </row>
    <row r="18" spans="1:4" ht="55.5" customHeight="1" x14ac:dyDescent="0.2">
      <c r="A18" s="10">
        <f t="shared" si="0"/>
        <v>16</v>
      </c>
      <c r="B18" s="5" t="s">
        <v>50</v>
      </c>
      <c r="C18" s="11" t="s">
        <v>51</v>
      </c>
      <c r="D18" s="11" t="s">
        <v>52</v>
      </c>
    </row>
    <row r="19" spans="1:4" ht="39.75" customHeight="1" x14ac:dyDescent="0.2">
      <c r="A19" s="10">
        <f t="shared" si="0"/>
        <v>17</v>
      </c>
      <c r="B19" s="5" t="s">
        <v>53</v>
      </c>
      <c r="C19" s="11" t="s">
        <v>54</v>
      </c>
      <c r="D19" s="11" t="s">
        <v>55</v>
      </c>
    </row>
    <row r="20" spans="1:4" ht="39.75" customHeight="1" x14ac:dyDescent="0.2">
      <c r="A20" s="10">
        <f t="shared" si="0"/>
        <v>18</v>
      </c>
      <c r="B20" s="5" t="s">
        <v>56</v>
      </c>
      <c r="C20" s="11" t="s">
        <v>57</v>
      </c>
      <c r="D20" s="11" t="s">
        <v>58</v>
      </c>
    </row>
    <row r="21" spans="1:4" ht="55.5" customHeight="1" x14ac:dyDescent="0.2">
      <c r="A21" s="10">
        <f t="shared" si="0"/>
        <v>19</v>
      </c>
      <c r="B21" s="5" t="s">
        <v>59</v>
      </c>
      <c r="C21" s="11" t="s">
        <v>60</v>
      </c>
      <c r="D21" s="11" t="s">
        <v>61</v>
      </c>
    </row>
    <row r="22" spans="1:4" ht="55.5" customHeight="1" x14ac:dyDescent="0.2">
      <c r="A22" s="10">
        <f t="shared" si="0"/>
        <v>20</v>
      </c>
      <c r="B22" s="5" t="s">
        <v>62</v>
      </c>
      <c r="C22" s="11" t="s">
        <v>63</v>
      </c>
      <c r="D22" s="11" t="s">
        <v>64</v>
      </c>
    </row>
    <row r="23" spans="1:4" ht="55.5" customHeight="1" x14ac:dyDescent="0.2">
      <c r="A23" s="10">
        <f t="shared" si="0"/>
        <v>21</v>
      </c>
      <c r="B23" s="5" t="s">
        <v>65</v>
      </c>
      <c r="C23" s="11" t="s">
        <v>66</v>
      </c>
      <c r="D23" s="11" t="s">
        <v>67</v>
      </c>
    </row>
    <row r="24" spans="1:4" ht="87.75" customHeight="1" x14ac:dyDescent="0.2">
      <c r="A24" s="10">
        <f t="shared" si="0"/>
        <v>22</v>
      </c>
      <c r="B24" s="5" t="s">
        <v>68</v>
      </c>
      <c r="C24" s="11" t="s">
        <v>69</v>
      </c>
      <c r="D24" s="11" t="s">
        <v>70</v>
      </c>
    </row>
    <row r="25" spans="1:4" ht="72" customHeight="1" x14ac:dyDescent="0.2">
      <c r="A25" s="10">
        <f t="shared" si="0"/>
        <v>23</v>
      </c>
      <c r="B25" s="5" t="s">
        <v>71</v>
      </c>
      <c r="C25" s="11" t="s">
        <v>72</v>
      </c>
      <c r="D25" s="11" t="s">
        <v>73</v>
      </c>
    </row>
    <row r="26" spans="1:4" ht="72" customHeight="1" x14ac:dyDescent="0.2">
      <c r="A26" s="10">
        <f t="shared" si="0"/>
        <v>24</v>
      </c>
      <c r="B26" s="5" t="s">
        <v>74</v>
      </c>
      <c r="C26" s="11" t="s">
        <v>75</v>
      </c>
      <c r="D26" s="11" t="s">
        <v>76</v>
      </c>
    </row>
    <row r="27" spans="1:4" ht="72" customHeight="1" x14ac:dyDescent="0.2">
      <c r="A27" s="10">
        <f t="shared" si="0"/>
        <v>25</v>
      </c>
      <c r="B27" s="5" t="s">
        <v>77</v>
      </c>
      <c r="C27" s="11" t="s">
        <v>78</v>
      </c>
      <c r="D27" s="11" t="s">
        <v>79</v>
      </c>
    </row>
    <row r="28" spans="1:4" ht="72" customHeight="1" x14ac:dyDescent="0.2">
      <c r="A28" s="10">
        <f t="shared" si="0"/>
        <v>26</v>
      </c>
      <c r="B28" s="5" t="s">
        <v>80</v>
      </c>
      <c r="C28" s="11" t="s">
        <v>81</v>
      </c>
      <c r="D28" s="11" t="s">
        <v>82</v>
      </c>
    </row>
    <row r="29" spans="1:4" ht="87.75" customHeight="1" x14ac:dyDescent="0.2">
      <c r="A29" s="10">
        <f t="shared" si="0"/>
        <v>27</v>
      </c>
      <c r="B29" s="5" t="s">
        <v>83</v>
      </c>
      <c r="C29" s="11" t="s">
        <v>84</v>
      </c>
      <c r="D29" s="11" t="s">
        <v>85</v>
      </c>
    </row>
    <row r="30" spans="1:4" ht="72" customHeight="1" x14ac:dyDescent="0.2">
      <c r="A30" s="10">
        <f t="shared" si="0"/>
        <v>28</v>
      </c>
      <c r="B30" s="5" t="s">
        <v>86</v>
      </c>
      <c r="C30" s="11" t="s">
        <v>87</v>
      </c>
      <c r="D30" s="11" t="s">
        <v>88</v>
      </c>
    </row>
    <row r="31" spans="1:4" ht="72" customHeight="1" x14ac:dyDescent="0.2">
      <c r="A31" s="10">
        <f t="shared" si="0"/>
        <v>29</v>
      </c>
      <c r="B31" s="5" t="s">
        <v>89</v>
      </c>
      <c r="C31" s="11" t="s">
        <v>90</v>
      </c>
      <c r="D31" s="11" t="s">
        <v>91</v>
      </c>
    </row>
    <row r="32" spans="1:4" ht="72" customHeight="1" x14ac:dyDescent="0.2">
      <c r="A32" s="10">
        <f t="shared" si="0"/>
        <v>30</v>
      </c>
      <c r="B32" s="5" t="s">
        <v>92</v>
      </c>
      <c r="C32" s="11" t="s">
        <v>93</v>
      </c>
      <c r="D32" s="11" t="s">
        <v>94</v>
      </c>
    </row>
    <row r="33" spans="1:4" ht="72" customHeight="1" x14ac:dyDescent="0.2">
      <c r="A33" s="10">
        <f t="shared" si="0"/>
        <v>31</v>
      </c>
      <c r="B33" s="5" t="s">
        <v>95</v>
      </c>
      <c r="C33" s="11" t="s">
        <v>96</v>
      </c>
      <c r="D33" s="11" t="s">
        <v>97</v>
      </c>
    </row>
    <row r="34" spans="1:4" ht="15.75" customHeight="1" x14ac:dyDescent="0.2"/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8"/>
  <sheetViews>
    <sheetView tabSelected="1" topLeftCell="A15" zoomScaleNormal="100" workbookViewId="0">
      <selection activeCell="D20" sqref="D20"/>
    </sheetView>
  </sheetViews>
  <sheetFormatPr baseColWidth="10" defaultColWidth="12.5703125" defaultRowHeight="12.75" x14ac:dyDescent="0.2"/>
  <cols>
    <col min="1" max="1" width="7" customWidth="1"/>
    <col min="2" max="2" width="29.5703125" customWidth="1"/>
    <col min="3" max="4" width="38" customWidth="1"/>
    <col min="5" max="5" width="19" customWidth="1"/>
    <col min="6" max="6" width="43.28515625" customWidth="1"/>
  </cols>
  <sheetData>
    <row r="1" spans="1:10" ht="28.5" customHeight="1" x14ac:dyDescent="0.2">
      <c r="A1" s="20" t="s">
        <v>98</v>
      </c>
      <c r="B1" s="20"/>
      <c r="C1" s="20"/>
      <c r="D1" s="20"/>
      <c r="E1" s="20"/>
      <c r="F1" s="20"/>
      <c r="G1" s="8"/>
      <c r="H1" s="8"/>
      <c r="I1" s="8"/>
      <c r="J1" s="8"/>
    </row>
    <row r="2" spans="1:10" ht="36" customHeight="1" x14ac:dyDescent="0.2">
      <c r="A2" s="9" t="s">
        <v>1</v>
      </c>
      <c r="B2" s="12" t="s">
        <v>99</v>
      </c>
      <c r="C2" s="9" t="s">
        <v>100</v>
      </c>
      <c r="D2" s="9" t="s">
        <v>425</v>
      </c>
      <c r="E2" s="9" t="s">
        <v>101</v>
      </c>
      <c r="F2" s="9" t="s">
        <v>4</v>
      </c>
    </row>
    <row r="3" spans="1:10" ht="55.5" customHeight="1" x14ac:dyDescent="0.2">
      <c r="A3" s="10">
        <v>1</v>
      </c>
      <c r="B3" s="2" t="s">
        <v>102</v>
      </c>
      <c r="C3" s="13" t="s">
        <v>103</v>
      </c>
      <c r="D3" s="33" t="s">
        <v>426</v>
      </c>
      <c r="E3" s="14" t="s">
        <v>104</v>
      </c>
      <c r="F3" s="11" t="s">
        <v>105</v>
      </c>
    </row>
    <row r="4" spans="1:10" ht="51" customHeight="1" x14ac:dyDescent="0.2">
      <c r="A4" s="10">
        <f t="shared" ref="A4:A18" si="0">A3+1</f>
        <v>2</v>
      </c>
      <c r="B4" s="2" t="s">
        <v>106</v>
      </c>
      <c r="C4" s="13" t="s">
        <v>106</v>
      </c>
      <c r="D4" s="33" t="s">
        <v>427</v>
      </c>
      <c r="E4" s="14" t="s">
        <v>107</v>
      </c>
      <c r="F4" s="11" t="s">
        <v>108</v>
      </c>
    </row>
    <row r="5" spans="1:10" ht="87.75" customHeight="1" x14ac:dyDescent="0.2">
      <c r="A5" s="10">
        <f t="shared" si="0"/>
        <v>3</v>
      </c>
      <c r="B5" s="2" t="s">
        <v>109</v>
      </c>
      <c r="C5" s="13" t="s">
        <v>110</v>
      </c>
      <c r="D5" s="33" t="s">
        <v>428</v>
      </c>
      <c r="E5" s="14" t="s">
        <v>104</v>
      </c>
      <c r="F5" s="11" t="s">
        <v>111</v>
      </c>
    </row>
    <row r="6" spans="1:10" ht="72" customHeight="1" x14ac:dyDescent="0.2">
      <c r="A6" s="10">
        <f t="shared" si="0"/>
        <v>4</v>
      </c>
      <c r="B6" s="2" t="s">
        <v>112</v>
      </c>
      <c r="C6" s="13" t="s">
        <v>113</v>
      </c>
      <c r="D6" s="34" t="s">
        <v>429</v>
      </c>
      <c r="E6" s="14" t="s">
        <v>114</v>
      </c>
      <c r="F6" s="11" t="s">
        <v>115</v>
      </c>
    </row>
    <row r="7" spans="1:10" ht="39.75" customHeight="1" x14ac:dyDescent="0.2">
      <c r="A7" s="10">
        <f t="shared" si="0"/>
        <v>5</v>
      </c>
      <c r="B7" s="2" t="s">
        <v>116</v>
      </c>
      <c r="C7" s="13" t="s">
        <v>117</v>
      </c>
      <c r="D7" s="35" t="s">
        <v>430</v>
      </c>
      <c r="E7" s="14" t="s">
        <v>118</v>
      </c>
      <c r="F7" s="11" t="s">
        <v>119</v>
      </c>
    </row>
    <row r="8" spans="1:10" ht="72" customHeight="1" x14ac:dyDescent="0.2">
      <c r="A8" s="10">
        <f t="shared" si="0"/>
        <v>6</v>
      </c>
      <c r="B8" s="2" t="s">
        <v>120</v>
      </c>
      <c r="C8" s="13" t="s">
        <v>121</v>
      </c>
      <c r="D8" s="35" t="s">
        <v>431</v>
      </c>
      <c r="E8" s="14" t="s">
        <v>122</v>
      </c>
      <c r="F8" s="11" t="s">
        <v>123</v>
      </c>
    </row>
    <row r="9" spans="1:10" ht="39.75" customHeight="1" x14ac:dyDescent="0.2">
      <c r="A9" s="10">
        <f t="shared" si="0"/>
        <v>7</v>
      </c>
      <c r="B9" s="2" t="s">
        <v>124</v>
      </c>
      <c r="C9" s="13" t="s">
        <v>125</v>
      </c>
      <c r="D9" s="35" t="s">
        <v>432</v>
      </c>
      <c r="E9" s="14" t="s">
        <v>126</v>
      </c>
      <c r="F9" s="11" t="s">
        <v>127</v>
      </c>
    </row>
    <row r="10" spans="1:10" ht="80.25" customHeight="1" x14ac:dyDescent="0.2">
      <c r="A10" s="10">
        <f t="shared" si="0"/>
        <v>8</v>
      </c>
      <c r="B10" s="2" t="s">
        <v>128</v>
      </c>
      <c r="C10" s="13" t="s">
        <v>129</v>
      </c>
      <c r="D10" s="35" t="s">
        <v>433</v>
      </c>
      <c r="E10" s="14" t="s">
        <v>104</v>
      </c>
      <c r="F10" s="11" t="s">
        <v>130</v>
      </c>
    </row>
    <row r="11" spans="1:10" ht="72" customHeight="1" x14ac:dyDescent="0.2">
      <c r="A11" s="10">
        <f t="shared" si="0"/>
        <v>9</v>
      </c>
      <c r="B11" s="2" t="s">
        <v>131</v>
      </c>
      <c r="C11" s="36" t="s">
        <v>132</v>
      </c>
      <c r="D11" s="35" t="s">
        <v>434</v>
      </c>
      <c r="E11" s="14" t="s">
        <v>133</v>
      </c>
      <c r="F11" s="11" t="s">
        <v>134</v>
      </c>
    </row>
    <row r="12" spans="1:10" ht="55.5" customHeight="1" x14ac:dyDescent="0.2">
      <c r="A12" s="10">
        <f t="shared" si="0"/>
        <v>10</v>
      </c>
      <c r="B12" s="2" t="s">
        <v>135</v>
      </c>
      <c r="C12" s="13" t="s">
        <v>136</v>
      </c>
      <c r="D12" s="35" t="s">
        <v>435</v>
      </c>
      <c r="E12" s="14" t="s">
        <v>122</v>
      </c>
      <c r="F12" s="11" t="s">
        <v>137</v>
      </c>
    </row>
    <row r="13" spans="1:10" ht="55.5" customHeight="1" x14ac:dyDescent="0.2">
      <c r="A13" s="10">
        <f t="shared" si="0"/>
        <v>11</v>
      </c>
      <c r="B13" s="2" t="s">
        <v>138</v>
      </c>
      <c r="C13" s="13" t="s">
        <v>136</v>
      </c>
      <c r="D13" s="35" t="s">
        <v>435</v>
      </c>
      <c r="E13" s="14" t="s">
        <v>122</v>
      </c>
      <c r="F13" s="11" t="s">
        <v>139</v>
      </c>
    </row>
    <row r="14" spans="1:10" ht="55.5" customHeight="1" x14ac:dyDescent="0.2">
      <c r="A14" s="10">
        <f t="shared" si="0"/>
        <v>12</v>
      </c>
      <c r="B14" s="2" t="s">
        <v>140</v>
      </c>
      <c r="C14" s="13" t="s">
        <v>141</v>
      </c>
      <c r="D14" s="35" t="s">
        <v>436</v>
      </c>
      <c r="E14" s="14" t="s">
        <v>142</v>
      </c>
      <c r="F14" s="11" t="s">
        <v>143</v>
      </c>
    </row>
    <row r="15" spans="1:10" ht="82.5" customHeight="1" x14ac:dyDescent="0.2">
      <c r="A15" s="10">
        <f t="shared" si="0"/>
        <v>13</v>
      </c>
      <c r="B15" s="2" t="s">
        <v>144</v>
      </c>
      <c r="C15" s="36" t="s">
        <v>145</v>
      </c>
      <c r="D15" s="35" t="s">
        <v>437</v>
      </c>
      <c r="E15" s="14" t="s">
        <v>104</v>
      </c>
      <c r="F15" s="11" t="s">
        <v>146</v>
      </c>
    </row>
    <row r="16" spans="1:10" ht="55.5" customHeight="1" x14ac:dyDescent="0.2">
      <c r="A16" s="10">
        <f t="shared" si="0"/>
        <v>14</v>
      </c>
      <c r="B16" s="2" t="s">
        <v>147</v>
      </c>
      <c r="C16" s="36" t="s">
        <v>148</v>
      </c>
      <c r="D16" s="35" t="s">
        <v>438</v>
      </c>
      <c r="E16" s="14" t="s">
        <v>142</v>
      </c>
      <c r="F16" s="11" t="s">
        <v>149</v>
      </c>
    </row>
    <row r="17" spans="1:6" ht="55.5" customHeight="1" x14ac:dyDescent="0.2">
      <c r="A17" s="10">
        <f t="shared" si="0"/>
        <v>15</v>
      </c>
      <c r="B17" s="2" t="s">
        <v>150</v>
      </c>
      <c r="C17" s="13" t="s">
        <v>136</v>
      </c>
      <c r="D17" s="35" t="s">
        <v>435</v>
      </c>
      <c r="E17" s="14" t="s">
        <v>122</v>
      </c>
      <c r="F17" s="11" t="s">
        <v>151</v>
      </c>
    </row>
    <row r="18" spans="1:6" ht="72" customHeight="1" x14ac:dyDescent="0.2">
      <c r="A18" s="10">
        <f t="shared" si="0"/>
        <v>16</v>
      </c>
      <c r="B18" s="2" t="s">
        <v>152</v>
      </c>
      <c r="C18" s="13" t="s">
        <v>153</v>
      </c>
      <c r="D18" s="35" t="s">
        <v>439</v>
      </c>
      <c r="E18" s="14" t="s">
        <v>154</v>
      </c>
      <c r="F18" s="11" t="s">
        <v>155</v>
      </c>
    </row>
    <row r="19" spans="1:6" ht="15.75" customHeight="1" x14ac:dyDescent="0.2"/>
    <row r="20" spans="1:6" ht="15.75" customHeight="1" x14ac:dyDescent="0.2"/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opLeftCell="B198" zoomScaleNormal="100" workbookViewId="0">
      <selection activeCell="K46" sqref="K46:N46"/>
    </sheetView>
  </sheetViews>
  <sheetFormatPr baseColWidth="10" defaultColWidth="12.5703125" defaultRowHeight="12.75" x14ac:dyDescent="0.2"/>
  <cols>
    <col min="1" max="1" width="5.5703125" customWidth="1"/>
    <col min="2" max="2" width="24" customWidth="1"/>
    <col min="3" max="3" width="40" customWidth="1"/>
    <col min="4" max="9" width="3.85546875" customWidth="1"/>
    <col min="10" max="10" width="5.28515625" customWidth="1"/>
    <col min="11" max="22" width="3.85546875" customWidth="1"/>
    <col min="23" max="23" width="4.5703125" customWidth="1"/>
    <col min="24" max="24" width="17" customWidth="1"/>
    <col min="25" max="25" width="30.42578125" customWidth="1"/>
  </cols>
  <sheetData>
    <row r="1" spans="1:25" ht="25.5" customHeight="1" x14ac:dyDescent="0.2">
      <c r="A1" s="20" t="s">
        <v>156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0.75" customHeight="1" x14ac:dyDescent="0.2">
      <c r="A2" s="20" t="s">
        <v>157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25.5" customHeight="1" x14ac:dyDescent="0.2">
      <c r="A3" s="15" t="s">
        <v>1</v>
      </c>
      <c r="B3" s="31" t="s">
        <v>2</v>
      </c>
      <c r="C3" s="31"/>
      <c r="D3" s="31"/>
      <c r="E3" s="31"/>
      <c r="F3" s="31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4</v>
      </c>
      <c r="Y3" s="32"/>
    </row>
    <row r="4" spans="1:25" ht="54.75" customHeight="1" x14ac:dyDescent="0.2">
      <c r="A4" s="10">
        <v>1</v>
      </c>
      <c r="B4" s="28" t="str">
        <f>'Inventario Modelo Lógico (corre'!B3</f>
        <v>usuario</v>
      </c>
      <c r="C4" s="28"/>
      <c r="D4" s="28"/>
      <c r="E4" s="28"/>
      <c r="F4" s="29" t="str">
        <f>'Inventario Modelo Lógico (corre'!C3</f>
        <v>Persona registrada en la plataforma que interactúa con la red social.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 t="str">
        <f>'Inventario Modelo Lógico (corre'!D3</f>
        <v>Origen: Entidad Usuario | PK: id_usuario | FK: id_rol, id_tipo_usuario | UK: nombre_usuario, correo</v>
      </c>
      <c r="Y4" s="30"/>
    </row>
    <row r="5" spans="1:25" ht="39.75" customHeight="1" x14ac:dyDescent="0.2">
      <c r="A5" s="10">
        <f t="shared" ref="A5:A34" si="0">A4+1</f>
        <v>2</v>
      </c>
      <c r="B5" s="28" t="str">
        <f>'Inventario Modelo Lógico (corre'!B4</f>
        <v>rol</v>
      </c>
      <c r="C5" s="28"/>
      <c r="D5" s="28"/>
      <c r="E5" s="28"/>
      <c r="F5" s="29" t="str">
        <f>'Inventario Modelo Lógico (corre'!C4</f>
        <v>Clasifica a los usuarios según sus permisos y nivel de acceso dentro del sistema.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30" t="str">
        <f>'Inventario Modelo Lógico (corre'!D4</f>
        <v>Origen: Entidad Rol | PK: id_rol | UK: nombre_rol</v>
      </c>
      <c r="Y5" s="30"/>
    </row>
    <row r="6" spans="1:25" ht="39.75" customHeight="1" x14ac:dyDescent="0.2">
      <c r="A6" s="10">
        <f t="shared" si="0"/>
        <v>3</v>
      </c>
      <c r="B6" s="28" t="str">
        <f>'Inventario Modelo Lógico (corre'!B5</f>
        <v>tipo_usuario</v>
      </c>
      <c r="C6" s="28"/>
      <c r="D6" s="28"/>
      <c r="E6" s="28"/>
      <c r="F6" s="29" t="str">
        <f>'Inventario Modelo Lógico (corre'!C5</f>
        <v>Clasificación académica o profesional del usuario con fines estadísticos.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0" t="str">
        <f>'Inventario Modelo Lógico (corre'!D5</f>
        <v>Origen: Entidad TipoUsuario | PK: id_tipo_usuario | UK: nombre_tipo</v>
      </c>
      <c r="Y6" s="30"/>
    </row>
    <row r="7" spans="1:25" ht="39.75" customHeight="1" x14ac:dyDescent="0.2">
      <c r="A7" s="10">
        <f t="shared" si="0"/>
        <v>4</v>
      </c>
      <c r="B7" s="28" t="str">
        <f>'Inventario Modelo Lógico (corre'!B6</f>
        <v>perfil</v>
      </c>
      <c r="C7" s="28"/>
      <c r="D7" s="28"/>
      <c r="E7" s="28"/>
      <c r="F7" s="29" t="str">
        <f>'Inventario Modelo Lógico (corre'!C6</f>
        <v>Extensión de la información del usuario que almacena intereses, habilidades y datos adicionales en formato JSONB.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0" t="str">
        <f>'Inventario Modelo Lógico (corre'!D6</f>
        <v>Origen: Entidad Perfil (débil) | PK: id_perfil | FK: id_usuario | UK: id_usuario</v>
      </c>
      <c r="Y7" s="30"/>
    </row>
    <row r="8" spans="1:25" ht="39.75" customHeight="1" x14ac:dyDescent="0.2">
      <c r="A8" s="10">
        <f t="shared" si="0"/>
        <v>5</v>
      </c>
      <c r="B8" s="28" t="str">
        <f>'Inventario Modelo Lógico (corre'!B7</f>
        <v>interes</v>
      </c>
      <c r="C8" s="28"/>
      <c r="D8" s="28"/>
      <c r="E8" s="28"/>
      <c r="F8" s="29" t="str">
        <f>'Inventario Modelo Lógico (corre'!C7</f>
        <v>Catálogo de intereses personales (fotografía, videojuegos, lectura, etc.) que los usuarios pueden asociar a su cuenta.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0" t="str">
        <f>'Inventario Modelo Lógico (corre'!D7</f>
        <v>Origen: Entidad Interes | PK: id_interes | UK: nombre_interes</v>
      </c>
      <c r="Y8" s="30"/>
    </row>
    <row r="9" spans="1:25" ht="39.75" customHeight="1" x14ac:dyDescent="0.2">
      <c r="A9" s="10">
        <f t="shared" si="0"/>
        <v>6</v>
      </c>
      <c r="B9" s="28" t="str">
        <f>'Inventario Modelo Lógico (corre'!B8</f>
        <v>habilidad</v>
      </c>
      <c r="C9" s="28"/>
      <c r="D9" s="28"/>
      <c r="E9" s="28"/>
      <c r="F9" s="29" t="str">
        <f>'Inventario Modelo Lógico (corre'!C8</f>
        <v>Catálogo de habilidades (programación, diseño gráfico, etc.) que los usuarios pueden declarar en su cuenta.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30" t="str">
        <f>'Inventario Modelo Lógico (corre'!D8</f>
        <v>Origen: Entidad Habilidad | PK: id_habilidad | UK: nombre_habilidad</v>
      </c>
      <c r="Y9" s="30"/>
    </row>
    <row r="10" spans="1:25" ht="39.75" customHeight="1" x14ac:dyDescent="0.2">
      <c r="A10" s="10">
        <f t="shared" si="0"/>
        <v>7</v>
      </c>
      <c r="B10" s="28" t="str">
        <f>'Inventario Modelo Lógico (corre'!B9</f>
        <v>publicacion</v>
      </c>
      <c r="C10" s="28"/>
      <c r="D10" s="28"/>
      <c r="E10" s="28"/>
      <c r="F10" s="29" t="str">
        <f>'Inventario Modelo Lógico (corre'!C9</f>
        <v>Contenido compartido por un usuario en el muro de la red social.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30" t="str">
        <f>'Inventario Modelo Lógico (corre'!D9</f>
        <v>Origen: Entidad Publicacion | PK: id_publicacion | FK: id_usuario</v>
      </c>
      <c r="Y10" s="30"/>
    </row>
    <row r="11" spans="1:25" ht="54.75" customHeight="1" x14ac:dyDescent="0.2">
      <c r="A11" s="10">
        <f t="shared" si="0"/>
        <v>8</v>
      </c>
      <c r="B11" s="28" t="str">
        <f>'Inventario Modelo Lógico (corre'!B10</f>
        <v>comentario</v>
      </c>
      <c r="C11" s="28"/>
      <c r="D11" s="28"/>
      <c r="E11" s="28"/>
      <c r="F11" s="29" t="str">
        <f>'Inventario Modelo Lógico (corre'!C10</f>
        <v>Respuesta o reacción escrita que un usuario realiza sobre una publicación específica.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30" t="str">
        <f>'Inventario Modelo Lógico (corre'!D10</f>
        <v>Origen: Entidad Comentario (débil) | PK: id_comentario | FK: id_publicacion, id_usuario, id_comentario_padre</v>
      </c>
      <c r="Y11" s="30"/>
    </row>
    <row r="12" spans="1:25" ht="39.75" customHeight="1" x14ac:dyDescent="0.2">
      <c r="A12" s="10">
        <f t="shared" si="0"/>
        <v>9</v>
      </c>
      <c r="B12" s="28" t="str">
        <f>'Inventario Modelo Lógico (corre'!B11</f>
        <v>grupo</v>
      </c>
      <c r="C12" s="28"/>
      <c r="D12" s="28"/>
      <c r="E12" s="28"/>
      <c r="F12" s="29" t="str">
        <f>'Inventario Modelo Lógico (corre'!C11</f>
        <v>Espacio colaborativo creado para reunir usuarios con intereses académicos, deportivos o de ocio en común.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30" t="str">
        <f>'Inventario Modelo Lógico (corre'!D11</f>
        <v>Origen: Entidad Grupo | PK: id_grupo | FK: id_usuario_creador</v>
      </c>
      <c r="Y12" s="30"/>
    </row>
    <row r="13" spans="1:25" ht="39.75" customHeight="1" x14ac:dyDescent="0.2">
      <c r="A13" s="10">
        <f t="shared" si="0"/>
        <v>10</v>
      </c>
      <c r="B13" s="28" t="str">
        <f>'Inventario Modelo Lógico (corre'!B12</f>
        <v>tipo_servicio</v>
      </c>
      <c r="C13" s="28"/>
      <c r="D13" s="28"/>
      <c r="E13" s="28"/>
      <c r="F13" s="29" t="str">
        <f>'Inventario Modelo Lógico (corre'!C12</f>
        <v>Catálogo predefinido que clasifica los servicios ofrecidos (tutorías, reparaciones, asesorías, etc.).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30" t="str">
        <f>'Inventario Modelo Lógico (corre'!D12</f>
        <v>Origen: Entidad TipoServicio | PK: id_tipo_servicio | UK: nombre_tipo</v>
      </c>
      <c r="Y13" s="30"/>
    </row>
    <row r="14" spans="1:25" ht="39.75" customHeight="1" x14ac:dyDescent="0.2">
      <c r="A14" s="10">
        <f t="shared" si="0"/>
        <v>11</v>
      </c>
      <c r="B14" s="28" t="str">
        <f>'Inventario Modelo Lógico (corre'!B13</f>
        <v>servicio</v>
      </c>
      <c r="C14" s="28"/>
      <c r="D14" s="28"/>
      <c r="E14" s="28"/>
      <c r="F14" s="29" t="str">
        <f>'Inventario Modelo Lógico (corre'!C13</f>
        <v>Oferta concreta que un usuario publica para brindar un servicio a otros, con precio y descripción.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0" t="str">
        <f>'Inventario Modelo Lógico (corre'!D13</f>
        <v>Origen: Entidad Servicio | PK: id_servicio | FK: id_tipo_servicio, id_usuario</v>
      </c>
      <c r="Y14" s="30"/>
    </row>
    <row r="15" spans="1:25" ht="39.75" customHeight="1" x14ac:dyDescent="0.2">
      <c r="A15" s="10">
        <f t="shared" si="0"/>
        <v>12</v>
      </c>
      <c r="B15" s="28" t="str">
        <f>'Inventario Modelo Lógico (corre'!B14</f>
        <v>tipo_producto</v>
      </c>
      <c r="C15" s="28"/>
      <c r="D15" s="28"/>
      <c r="E15" s="28"/>
      <c r="F15" s="29" t="str">
        <f>'Inventario Modelo Lógico (corre'!C14</f>
        <v>Catálogo predefinido que clasifica los productos en venta (libros, tecnología, ropa, etc.).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30" t="str">
        <f>'Inventario Modelo Lógico (corre'!D14</f>
        <v>Origen: Entidad TipoProducto | PK: id_tipo_producto | UK: nombre_tipo</v>
      </c>
      <c r="Y15" s="30"/>
    </row>
    <row r="16" spans="1:25" ht="39.75" customHeight="1" x14ac:dyDescent="0.2">
      <c r="A16" s="10">
        <f t="shared" si="0"/>
        <v>13</v>
      </c>
      <c r="B16" s="28" t="str">
        <f>'Inventario Modelo Lógico (corre'!B15</f>
        <v>producto</v>
      </c>
      <c r="C16" s="28"/>
      <c r="D16" s="28"/>
      <c r="E16" s="28"/>
      <c r="F16" s="29" t="str">
        <f>'Inventario Modelo Lógico (corre'!C15</f>
        <v>Artículo físico o digital que un usuario publica para vender o adquirir dentro de la plataforma.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30" t="str">
        <f>'Inventario Modelo Lógico (corre'!D15</f>
        <v>Origen: Entidad Producto | PK: id_producto | FK: id_tipo_producto, id_usuario</v>
      </c>
      <c r="Y16" s="30"/>
    </row>
    <row r="17" spans="1:25" ht="39.75" customHeight="1" x14ac:dyDescent="0.2">
      <c r="A17" s="10">
        <f t="shared" si="0"/>
        <v>14</v>
      </c>
      <c r="B17" s="28" t="str">
        <f>'Inventario Modelo Lógico (corre'!B16</f>
        <v>tipo_evento</v>
      </c>
      <c r="C17" s="28"/>
      <c r="D17" s="28"/>
      <c r="E17" s="28"/>
      <c r="F17" s="29" t="str">
        <f>'Inventario Modelo Lógico (corre'!C16</f>
        <v>Catálogo predefinido que clasifica los eventos.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30" t="str">
        <f>'Inventario Modelo Lógico (corre'!D16</f>
        <v>Origen: Entidad TipoEvento | PK: id_tipo_evento | UK: nombre_tipo</v>
      </c>
      <c r="Y17" s="30"/>
    </row>
    <row r="18" spans="1:25" ht="39.75" customHeight="1" x14ac:dyDescent="0.2">
      <c r="A18" s="10">
        <f t="shared" si="0"/>
        <v>15</v>
      </c>
      <c r="B18" s="28" t="str">
        <f>'Inventario Modelo Lógico (corre'!B17</f>
        <v>evento</v>
      </c>
      <c r="C18" s="28"/>
      <c r="D18" s="28"/>
      <c r="E18" s="28"/>
      <c r="F18" s="29" t="str">
        <f>'Inventario Modelo Lógico (corre'!C17</f>
        <v>Actividad programada con fecha, hora y lugar, organizada por un usuario y con participación de otros.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30" t="str">
        <f>'Inventario Modelo Lógico (corre'!D17</f>
        <v>Origen: Entidad Evento | PK: id_evento | FK: id_tipo_evento, id_usuario_organizador</v>
      </c>
      <c r="Y18" s="30"/>
    </row>
    <row r="19" spans="1:25" ht="39.75" customHeight="1" x14ac:dyDescent="0.2">
      <c r="A19" s="10">
        <f t="shared" si="0"/>
        <v>16</v>
      </c>
      <c r="B19" s="28" t="str">
        <f>'Inventario Modelo Lógico (corre'!B18</f>
        <v>etiqueta</v>
      </c>
      <c r="C19" s="28"/>
      <c r="D19" s="28"/>
      <c r="E19" s="28"/>
      <c r="F19" s="29" t="str">
        <f>'Inventario Modelo Lógico (corre'!C18</f>
        <v>Etiqueta temática que clasifica las publicaciones (académico, deportes, noticias) para facilitar filtros.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30" t="str">
        <f>'Inventario Modelo Lógico (corre'!D18</f>
        <v>Origen: Entidad Etiqueta | PK: id_etiqueta | UK: nombre_etiqueta</v>
      </c>
      <c r="Y19" s="30"/>
    </row>
    <row r="20" spans="1:25" ht="39.75" customHeight="1" x14ac:dyDescent="0.2">
      <c r="A20" s="10">
        <f t="shared" si="0"/>
        <v>17</v>
      </c>
      <c r="B20" s="28" t="str">
        <f>'Inventario Modelo Lógico (corre'!B19</f>
        <v>chat</v>
      </c>
      <c r="C20" s="28"/>
      <c r="D20" s="28"/>
      <c r="E20" s="28"/>
      <c r="F20" s="29" t="str">
        <f>'Inventario Modelo Lógico (corre'!C19</f>
        <v>Espacio de conversación en el que participan dos o más usuarios para intercambiar mensajes.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30" t="str">
        <f>'Inventario Modelo Lógico (corre'!D19</f>
        <v>Origen: Entidad Chat | PK: id_chat</v>
      </c>
      <c r="Y20" s="30"/>
    </row>
    <row r="21" spans="1:25" ht="39.75" customHeight="1" x14ac:dyDescent="0.2">
      <c r="A21" s="10">
        <f t="shared" si="0"/>
        <v>18</v>
      </c>
      <c r="B21" s="28" t="str">
        <f>'Inventario Modelo Lógico (corre'!B20</f>
        <v>mensaje</v>
      </c>
      <c r="C21" s="28"/>
      <c r="D21" s="28"/>
      <c r="E21" s="28"/>
      <c r="F21" s="29" t="str">
        <f>'Inventario Modelo Lógico (corre'!C20</f>
        <v>Texto enviado por un usuario dentro de un chat.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30" t="str">
        <f>'Inventario Modelo Lógico (corre'!D20</f>
        <v>Origen: Entidad Mensaje | PK: id_mensaje | FK: id_chat, id_usuario_emisor</v>
      </c>
      <c r="Y21" s="30"/>
    </row>
    <row r="22" spans="1:25" ht="54.75" customHeight="1" x14ac:dyDescent="0.2">
      <c r="A22" s="10">
        <f t="shared" si="0"/>
        <v>19</v>
      </c>
      <c r="B22" s="28" t="str">
        <f>'Inventario Modelo Lógico (corre'!B21</f>
        <v>resena</v>
      </c>
      <c r="C22" s="28"/>
      <c r="D22" s="28"/>
      <c r="E22" s="28"/>
      <c r="F22" s="29" t="str">
        <f>'Inventario Modelo Lógico (corre'!C21</f>
        <v>Evaluación numérica y comentario que un usuario deja sobre otro tras una compra, servicio o interacción.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30" t="str">
        <f>'Inventario Modelo Lógico (corre'!D21</f>
        <v>Origen: Entidad Reseña | PK: id_resena | FK: id_usuario_autor, id_servicio, id_producto, id_evento</v>
      </c>
      <c r="Y22" s="30"/>
    </row>
    <row r="23" spans="1:25" ht="54.75" customHeight="1" x14ac:dyDescent="0.2">
      <c r="A23" s="10">
        <f t="shared" si="0"/>
        <v>20</v>
      </c>
      <c r="B23" s="28" t="str">
        <f>'Inventario Modelo Lógico (corre'!B22</f>
        <v>notificacion</v>
      </c>
      <c r="C23" s="28"/>
      <c r="D23" s="28"/>
      <c r="E23" s="28"/>
      <c r="F23" s="29" t="str">
        <f>'Inventario Modelo Lógico (corre'!C22</f>
        <v>Alerta automática que informa a un usuario sobre interacciones relevantes (comentarios, likes, mensajes).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30" t="str">
        <f>'Inventario Modelo Lógico (corre'!D22</f>
        <v>Origen: Entidad Notificacion | PK: id_notificacion | FK: id_usuario_destino, id_publicacion, id_comentario</v>
      </c>
      <c r="Y23" s="30"/>
    </row>
    <row r="24" spans="1:25" ht="39.75" customHeight="1" x14ac:dyDescent="0.2">
      <c r="A24" s="10">
        <f t="shared" si="0"/>
        <v>21</v>
      </c>
      <c r="B24" s="28" t="str">
        <f>'Inventario Modelo Lógico (corre'!B23</f>
        <v>venta</v>
      </c>
      <c r="C24" s="28"/>
      <c r="D24" s="28"/>
      <c r="E24" s="28"/>
      <c r="F24" s="29" t="str">
        <f>'Inventario Modelo Lógico (corre'!C23</f>
        <v>Transacción comercial entre un usuario comprador y un usuario vendedor, que puede incluir productos, servicios y eventos.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30" t="str">
        <f>'Inventario Modelo Lógico (corre'!D23</f>
        <v>Origen: Entidad Venta | PK: id_venta | FK: id_usuario_comprador, id_usuario_vendedor</v>
      </c>
      <c r="Y24" s="30"/>
    </row>
    <row r="25" spans="1:25" ht="69.75" customHeight="1" x14ac:dyDescent="0.2">
      <c r="A25" s="10">
        <f t="shared" si="0"/>
        <v>22</v>
      </c>
      <c r="B25" s="28" t="str">
        <f>'Inventario Modelo Lógico (corre'!B24</f>
        <v>seguidor</v>
      </c>
      <c r="C25" s="28"/>
      <c r="D25" s="28"/>
      <c r="E25" s="28"/>
      <c r="F25" s="29" t="str">
        <f>'Inventario Modelo Lógico (corre'!C24</f>
        <v>Relación que permite a un usuario seguir a otro para visualizar sus publicaciones en el feed personal.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30" t="str">
        <f>'Inventario Modelo Lógico (corre'!D24</f>
        <v>Origen: Relación M:N Usuario — sigue — Usuario | PK: id_seguidor | FK: id_usuario_seguidor, id_usuario_seguido | UK compuesta: (id_usuario_seguidor, id_usuario_seguido)</v>
      </c>
      <c r="Y25" s="30"/>
    </row>
    <row r="26" spans="1:25" ht="69.75" customHeight="1" x14ac:dyDescent="0.2">
      <c r="A26" s="10">
        <f t="shared" si="0"/>
        <v>23</v>
      </c>
      <c r="B26" s="28" t="str">
        <f>'Inventario Modelo Lógico (corre'!B25</f>
        <v>usuario_interes</v>
      </c>
      <c r="C26" s="28"/>
      <c r="D26" s="28"/>
      <c r="E26" s="28"/>
      <c r="F26" s="29" t="str">
        <f>'Inventario Modelo Lógico (corre'!C25</f>
        <v>Relaciona a cada usuario con los intereses que tiene, permitiendo registrar uno o varios intereses por usuario.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30" t="str">
        <f>'Inventario Modelo Lógico (corre'!D25</f>
        <v>Origen: Relación M:N Usuario — tiene — Interes | PK: id_usuario_interes | FK: id_usuario, id_interes | UK compuesta: (id_usuario, id_interes)</v>
      </c>
      <c r="Y26" s="30"/>
    </row>
    <row r="27" spans="1:25" ht="69.75" customHeight="1" x14ac:dyDescent="0.2">
      <c r="A27" s="10">
        <f t="shared" si="0"/>
        <v>24</v>
      </c>
      <c r="B27" s="28" t="str">
        <f>'Inventario Modelo Lógico (corre'!B26</f>
        <v>usuario_habilidad</v>
      </c>
      <c r="C27" s="28"/>
      <c r="D27" s="28"/>
      <c r="E27" s="28"/>
      <c r="F27" s="29" t="str">
        <f>'Inventario Modelo Lógico (corre'!C26</f>
        <v>Relaciona a cada usuario con las habilidades que posee, permitiendo registrar una o varias habilidades por usuario.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0" t="str">
        <f>'Inventario Modelo Lógico (corre'!D26</f>
        <v>Origen: Relación M:N Usuario — tiene — Habilidad | PK: id_usuario_habilidad | FK: id_usuario, id_habilidad | UK compuesta: (id_usuario, id_habilidad)</v>
      </c>
      <c r="Y27" s="30"/>
    </row>
    <row r="28" spans="1:25" ht="69.75" customHeight="1" x14ac:dyDescent="0.2">
      <c r="A28" s="10">
        <f t="shared" si="0"/>
        <v>25</v>
      </c>
      <c r="B28" s="28" t="str">
        <f>'Inventario Modelo Lógico (corre'!B27</f>
        <v>usuario_grupo</v>
      </c>
      <c r="C28" s="28"/>
      <c r="D28" s="28"/>
      <c r="E28" s="28"/>
      <c r="F28" s="29" t="str">
        <f>'Inventario Modelo Lógico (corre'!C27</f>
        <v>Registra los grupos a los que pertenece cada usuario, permitiendo que un grupo tenga varios miembros y un usuario participe en varios grupos.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30" t="str">
        <f>'Inventario Modelo Lógico (corre'!D27</f>
        <v>Origen: Relación M:N Usuario — pertenece — Grupo | PK: id_usuario_grupo | FK: id_usuario, id_grupo | UK compuesta: (id_usuario, id_grupo)</v>
      </c>
      <c r="Y28" s="30"/>
    </row>
    <row r="29" spans="1:25" ht="69.75" customHeight="1" x14ac:dyDescent="0.2">
      <c r="A29" s="10">
        <f t="shared" si="0"/>
        <v>26</v>
      </c>
      <c r="B29" s="28" t="str">
        <f>'Inventario Modelo Lógico (corre'!B28</f>
        <v>usuario_evento</v>
      </c>
      <c r="C29" s="28"/>
      <c r="D29" s="28"/>
      <c r="E29" s="28"/>
      <c r="F29" s="29" t="str">
        <f>'Inventario Modelo Lógico (corre'!C28</f>
        <v>Registra la participación de los usuarios en los eventos, permitiendo que un evento tenga varios asistentes y un usuario asista a varios eventos.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30" t="str">
        <f>'Inventario Modelo Lógico (corre'!D28</f>
        <v>Origen: Relación M:N Usuario — participa — Evento | PK: id_usuario_evento | FK: id_usuario, id_evento | UK compuesta: (id_usuario, id_evento)</v>
      </c>
      <c r="Y29" s="30"/>
    </row>
    <row r="30" spans="1:25" ht="69.75" customHeight="1" x14ac:dyDescent="0.2">
      <c r="A30" s="10">
        <f t="shared" si="0"/>
        <v>27</v>
      </c>
      <c r="B30" s="28" t="str">
        <f>'Inventario Modelo Lógico (corre'!B29</f>
        <v>publicacion_etiqueta</v>
      </c>
      <c r="C30" s="28"/>
      <c r="D30" s="28"/>
      <c r="E30" s="28"/>
      <c r="F30" s="29" t="str">
        <f>'Inventario Modelo Lógico (corre'!C29</f>
        <v>Relaciona las publicaciones con sus etiquetas temáticas, permitiendo asignar una o varias etiquetas a cada publicación.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30" t="str">
        <f>'Inventario Modelo Lógico (corre'!D29</f>
        <v>Origen: Relación M:N Publicacion — etiqueta — Etiqueta | PK: id_publicacion_etiqueta | FK: id_publicacion, id_etiqueta | UK compuesta: (id_publicacion, id_etiqueta)</v>
      </c>
      <c r="Y30" s="30"/>
    </row>
    <row r="31" spans="1:25" ht="69.75" customHeight="1" x14ac:dyDescent="0.2">
      <c r="A31" s="10">
        <f t="shared" si="0"/>
        <v>28</v>
      </c>
      <c r="B31" s="28" t="str">
        <f>'Inventario Modelo Lógico (corre'!B30</f>
        <v>chat_usuario</v>
      </c>
      <c r="C31" s="28"/>
      <c r="D31" s="28"/>
      <c r="E31" s="28"/>
      <c r="F31" s="29" t="str">
        <f>'Inventario Modelo Lógico (corre'!C30</f>
        <v>Registra los usuarios que participan en cada chat, permitiendo conversaciones con varios participantes.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30" t="str">
        <f>'Inventario Modelo Lógico (corre'!D30</f>
        <v>Origen: Relación M:N Usuario — participa — Chat | PK: id_chat_usuario | FK: id_chat, id_usuario | UK compuesta: (id_chat, id_usuario)</v>
      </c>
      <c r="Y31" s="30"/>
    </row>
    <row r="32" spans="1:25" ht="69.75" customHeight="1" x14ac:dyDescent="0.2">
      <c r="A32" s="10">
        <f t="shared" si="0"/>
        <v>29</v>
      </c>
      <c r="B32" s="28" t="str">
        <f>'Inventario Modelo Lógico (corre'!B31</f>
        <v>venta_producto</v>
      </c>
      <c r="C32" s="28"/>
      <c r="D32" s="28"/>
      <c r="E32" s="28"/>
      <c r="F32" s="29" t="str">
        <f>'Inventario Modelo Lógico (corre'!C31</f>
        <v>Detalle de los productos incluidos en cada venta, con la cantidad y el precio unitario acordados.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30" t="str">
        <f>'Inventario Modelo Lógico (corre'!D31</f>
        <v>Origen: Relación M:N Venta — incluye — Producto | PK: id_venta_producto | FK: id_venta, id_producto | UK compuesta: (id_venta, id_producto)</v>
      </c>
      <c r="Y32" s="30"/>
    </row>
    <row r="33" spans="1:25" ht="69.75" customHeight="1" x14ac:dyDescent="0.2">
      <c r="A33" s="10">
        <f t="shared" si="0"/>
        <v>30</v>
      </c>
      <c r="B33" s="28" t="str">
        <f>'Inventario Modelo Lógico (corre'!B32</f>
        <v>venta_servicio</v>
      </c>
      <c r="C33" s="28"/>
      <c r="D33" s="28"/>
      <c r="E33" s="28"/>
      <c r="F33" s="29" t="str">
        <f>'Inventario Modelo Lógico (corre'!C32</f>
        <v>Detalle de los servicios incluidos en cada venta, con el precio acordado.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30" t="str">
        <f>'Inventario Modelo Lógico (corre'!D32</f>
        <v>Origen: Relación M:N Venta — incluye — Servicio | PK: id_venta_servicio | FK: id_venta, id_servicio | UK compuesta: (id_venta, id_servicio)</v>
      </c>
      <c r="Y33" s="30"/>
    </row>
    <row r="34" spans="1:25" ht="54.75" customHeight="1" x14ac:dyDescent="0.2">
      <c r="A34" s="10">
        <f t="shared" si="0"/>
        <v>31</v>
      </c>
      <c r="B34" s="28" t="str">
        <f>'Inventario Modelo Lógico (corre'!B33</f>
        <v>venta_evento</v>
      </c>
      <c r="C34" s="28"/>
      <c r="D34" s="28"/>
      <c r="E34" s="28"/>
      <c r="F34" s="29" t="str">
        <f>'Inventario Modelo Lógico (corre'!C33</f>
        <v>Detalle de los eventos incluidos en cada venta (por ejemplo, entradas), con la cantidad y el precio unitario.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30" t="str">
        <f>'Inventario Modelo Lógico (corre'!D33</f>
        <v>Origen: Relación M:N Venta — incluye — Evento | PK: id_venta_evento | FK: id_venta, id_evento | UK compuesta: (id_venta, id_evento)</v>
      </c>
      <c r="Y34" s="30"/>
    </row>
    <row r="35" spans="1:25" ht="35.2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24.75" customHeight="1" x14ac:dyDescent="0.2">
      <c r="A36" s="19" t="s">
        <v>158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28.5" customHeight="1" x14ac:dyDescent="0.2"/>
    <row r="38" spans="1:25" ht="43.5" customHeight="1" x14ac:dyDescent="0.2">
      <c r="A38" s="16">
        <v>1</v>
      </c>
      <c r="B38" s="17" t="s">
        <v>2</v>
      </c>
      <c r="C38" s="24" t="str">
        <f>B4</f>
        <v>usuario</v>
      </c>
      <c r="D38" s="24"/>
      <c r="E38" s="24"/>
      <c r="F38" s="24"/>
      <c r="G38" s="25" t="s">
        <v>3</v>
      </c>
      <c r="H38" s="25"/>
      <c r="I38" s="25"/>
      <c r="J38" s="25"/>
      <c r="K38" s="26" t="str">
        <f>F4</f>
        <v>Persona registrada en la plataforma que interactúa con la red social.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3" t="s">
        <v>159</v>
      </c>
      <c r="Y38" s="4" t="s">
        <v>160</v>
      </c>
    </row>
    <row r="39" spans="1:25" ht="41.25" customHeight="1" x14ac:dyDescent="0.2">
      <c r="A39" s="3" t="s">
        <v>1</v>
      </c>
      <c r="B39" s="3" t="s">
        <v>161</v>
      </c>
      <c r="C39" s="25" t="s">
        <v>162</v>
      </c>
      <c r="D39" s="25"/>
      <c r="E39" s="25"/>
      <c r="F39" s="25"/>
      <c r="G39" s="25" t="s">
        <v>163</v>
      </c>
      <c r="H39" s="25"/>
      <c r="I39" s="25"/>
      <c r="J39" s="25"/>
      <c r="K39" s="25" t="s">
        <v>164</v>
      </c>
      <c r="L39" s="25"/>
      <c r="M39" s="25"/>
      <c r="N39" s="25"/>
      <c r="O39" s="25" t="s">
        <v>165</v>
      </c>
      <c r="P39" s="25"/>
      <c r="Q39" s="25"/>
      <c r="R39" s="25" t="s">
        <v>166</v>
      </c>
      <c r="S39" s="25"/>
      <c r="T39" s="25" t="s">
        <v>167</v>
      </c>
      <c r="U39" s="25"/>
      <c r="V39" s="25" t="s">
        <v>168</v>
      </c>
      <c r="W39" s="25"/>
      <c r="X39" s="25" t="s">
        <v>169</v>
      </c>
      <c r="Y39" s="25"/>
    </row>
    <row r="40" spans="1:25" ht="55.5" customHeight="1" x14ac:dyDescent="0.2">
      <c r="A40" s="2">
        <v>1</v>
      </c>
      <c r="B40" s="1" t="s">
        <v>170</v>
      </c>
      <c r="C40" s="21" t="s">
        <v>171</v>
      </c>
      <c r="D40" s="21"/>
      <c r="E40" s="21"/>
      <c r="F40" s="21"/>
      <c r="G40" s="23" t="s">
        <v>172</v>
      </c>
      <c r="H40" s="23"/>
      <c r="I40" s="23"/>
      <c r="J40" s="23"/>
      <c r="K40" s="23" t="s">
        <v>173</v>
      </c>
      <c r="L40" s="23"/>
      <c r="M40" s="23"/>
      <c r="N40" s="23"/>
      <c r="O40" s="23" t="s">
        <v>174</v>
      </c>
      <c r="P40" s="23"/>
      <c r="Q40" s="23"/>
      <c r="R40" s="23" t="s">
        <v>175</v>
      </c>
      <c r="S40" s="23"/>
      <c r="T40" s="23"/>
      <c r="U40" s="23"/>
      <c r="V40" s="23"/>
      <c r="W40" s="23"/>
      <c r="X40" s="21"/>
      <c r="Y40" s="21"/>
    </row>
    <row r="41" spans="1:25" ht="55.5" customHeight="1" x14ac:dyDescent="0.2">
      <c r="A41" s="2">
        <v>2</v>
      </c>
      <c r="B41" s="1" t="s">
        <v>176</v>
      </c>
      <c r="C41" s="21" t="s">
        <v>177</v>
      </c>
      <c r="D41" s="21"/>
      <c r="E41" s="21"/>
      <c r="F41" s="21"/>
      <c r="G41" s="23" t="s">
        <v>110</v>
      </c>
      <c r="H41" s="23"/>
      <c r="I41" s="23"/>
      <c r="J41" s="23"/>
      <c r="K41" s="23" t="s">
        <v>173</v>
      </c>
      <c r="L41" s="23"/>
      <c r="M41" s="23"/>
      <c r="N41" s="23"/>
      <c r="O41" s="23" t="s">
        <v>174</v>
      </c>
      <c r="P41" s="23"/>
      <c r="Q41" s="23"/>
      <c r="R41" s="23"/>
      <c r="S41" s="23"/>
      <c r="T41" s="23" t="s">
        <v>175</v>
      </c>
      <c r="U41" s="23"/>
      <c r="V41" s="23"/>
      <c r="W41" s="23"/>
      <c r="X41" s="21" t="s">
        <v>178</v>
      </c>
      <c r="Y41" s="21"/>
    </row>
    <row r="42" spans="1:25" ht="39.75" customHeight="1" x14ac:dyDescent="0.2">
      <c r="A42" s="2">
        <v>3</v>
      </c>
      <c r="B42" s="1" t="s">
        <v>179</v>
      </c>
      <c r="C42" s="21" t="s">
        <v>180</v>
      </c>
      <c r="D42" s="21"/>
      <c r="E42" s="21"/>
      <c r="F42" s="21"/>
      <c r="G42" s="23" t="s">
        <v>110</v>
      </c>
      <c r="H42" s="23"/>
      <c r="I42" s="23"/>
      <c r="J42" s="23"/>
      <c r="K42" s="23" t="s">
        <v>173</v>
      </c>
      <c r="L42" s="23"/>
      <c r="M42" s="23"/>
      <c r="N42" s="23"/>
      <c r="O42" s="23" t="s">
        <v>174</v>
      </c>
      <c r="P42" s="23"/>
      <c r="Q42" s="23"/>
      <c r="R42" s="23"/>
      <c r="S42" s="23"/>
      <c r="T42" s="23" t="s">
        <v>175</v>
      </c>
      <c r="U42" s="23"/>
      <c r="V42" s="23"/>
      <c r="W42" s="23"/>
      <c r="X42" s="21" t="s">
        <v>181</v>
      </c>
      <c r="Y42" s="21"/>
    </row>
    <row r="43" spans="1:25" ht="55.5" customHeight="1" x14ac:dyDescent="0.2">
      <c r="A43" s="2">
        <v>4</v>
      </c>
      <c r="B43" s="1" t="s">
        <v>182</v>
      </c>
      <c r="C43" s="21" t="s">
        <v>183</v>
      </c>
      <c r="D43" s="21"/>
      <c r="E43" s="21"/>
      <c r="F43" s="21"/>
      <c r="G43" s="23" t="s">
        <v>184</v>
      </c>
      <c r="H43" s="23"/>
      <c r="I43" s="23"/>
      <c r="J43" s="23"/>
      <c r="K43" s="23">
        <v>80</v>
      </c>
      <c r="L43" s="23"/>
      <c r="M43" s="23"/>
      <c r="N43" s="23"/>
      <c r="O43" s="23" t="s">
        <v>174</v>
      </c>
      <c r="P43" s="23"/>
      <c r="Q43" s="23"/>
      <c r="R43" s="23"/>
      <c r="S43" s="23"/>
      <c r="T43" s="23"/>
      <c r="U43" s="23"/>
      <c r="V43" s="23"/>
      <c r="W43" s="23"/>
      <c r="X43" s="21"/>
      <c r="Y43" s="21"/>
    </row>
    <row r="44" spans="1:25" ht="55.5" customHeight="1" x14ac:dyDescent="0.2">
      <c r="A44" s="2">
        <v>5</v>
      </c>
      <c r="B44" s="1" t="s">
        <v>185</v>
      </c>
      <c r="C44" s="21" t="s">
        <v>186</v>
      </c>
      <c r="D44" s="21"/>
      <c r="E44" s="21"/>
      <c r="F44" s="21"/>
      <c r="G44" s="23" t="s">
        <v>184</v>
      </c>
      <c r="H44" s="23"/>
      <c r="I44" s="23"/>
      <c r="J44" s="23"/>
      <c r="K44" s="23" t="s">
        <v>187</v>
      </c>
      <c r="L44" s="23"/>
      <c r="M44" s="23"/>
      <c r="N44" s="23"/>
      <c r="O44" s="23" t="s">
        <v>174</v>
      </c>
      <c r="P44" s="23"/>
      <c r="Q44" s="23"/>
      <c r="R44" s="23"/>
      <c r="S44" s="23"/>
      <c r="T44" s="23"/>
      <c r="U44" s="23"/>
      <c r="V44" s="23" t="s">
        <v>175</v>
      </c>
      <c r="W44" s="23"/>
      <c r="X44" s="21"/>
      <c r="Y44" s="21"/>
    </row>
    <row r="45" spans="1:25" ht="72" customHeight="1" x14ac:dyDescent="0.2">
      <c r="A45" s="2">
        <v>6</v>
      </c>
      <c r="B45" s="1" t="s">
        <v>188</v>
      </c>
      <c r="C45" s="21" t="s">
        <v>189</v>
      </c>
      <c r="D45" s="21"/>
      <c r="E45" s="21"/>
      <c r="F45" s="21"/>
      <c r="G45" s="23" t="s">
        <v>184</v>
      </c>
      <c r="H45" s="23"/>
      <c r="I45" s="23"/>
      <c r="J45" s="23"/>
      <c r="K45" s="23">
        <v>100</v>
      </c>
      <c r="L45" s="23"/>
      <c r="M45" s="23"/>
      <c r="N45" s="23"/>
      <c r="O45" s="23" t="s">
        <v>174</v>
      </c>
      <c r="P45" s="23"/>
      <c r="Q45" s="23"/>
      <c r="R45" s="23"/>
      <c r="S45" s="23"/>
      <c r="T45" s="23"/>
      <c r="U45" s="23"/>
      <c r="V45" s="23" t="s">
        <v>175</v>
      </c>
      <c r="W45" s="23"/>
      <c r="X45" s="21"/>
      <c r="Y45" s="21"/>
    </row>
    <row r="46" spans="1:25" ht="72" customHeight="1" x14ac:dyDescent="0.2">
      <c r="A46" s="2">
        <v>7</v>
      </c>
      <c r="B46" s="1" t="s">
        <v>191</v>
      </c>
      <c r="C46" s="21" t="s">
        <v>192</v>
      </c>
      <c r="D46" s="21"/>
      <c r="E46" s="21"/>
      <c r="F46" s="21"/>
      <c r="G46" s="23" t="s">
        <v>184</v>
      </c>
      <c r="H46" s="23"/>
      <c r="I46" s="23"/>
      <c r="J46" s="23"/>
      <c r="K46" s="23">
        <v>50</v>
      </c>
      <c r="L46" s="23"/>
      <c r="M46" s="23"/>
      <c r="N46" s="23"/>
      <c r="O46" s="23" t="s">
        <v>174</v>
      </c>
      <c r="P46" s="23"/>
      <c r="Q46" s="23"/>
      <c r="R46" s="23"/>
      <c r="S46" s="23"/>
      <c r="T46" s="23"/>
      <c r="U46" s="23"/>
      <c r="V46" s="23"/>
      <c r="W46" s="23"/>
      <c r="X46" s="21" t="s">
        <v>194</v>
      </c>
      <c r="Y46" s="21"/>
    </row>
    <row r="47" spans="1:25" ht="26.25" customHeight="1" x14ac:dyDescent="0.2">
      <c r="A47" s="18"/>
      <c r="B47" s="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26.25" customHeight="1" x14ac:dyDescent="0.2">
      <c r="A48" s="2" t="s">
        <v>195</v>
      </c>
      <c r="B48" s="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28.5" customHeight="1" x14ac:dyDescent="0.2">
      <c r="A49" s="27" t="s">
        <v>196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28.5" customHeight="1" x14ac:dyDescent="0.2"/>
    <row r="51" spans="1:25" ht="43.5" customHeight="1" x14ac:dyDescent="0.2">
      <c r="A51" s="16">
        <v>2</v>
      </c>
      <c r="B51" s="17" t="s">
        <v>2</v>
      </c>
      <c r="C51" s="24" t="str">
        <f>B5</f>
        <v>rol</v>
      </c>
      <c r="D51" s="24"/>
      <c r="E51" s="24"/>
      <c r="F51" s="24"/>
      <c r="G51" s="25" t="s">
        <v>3</v>
      </c>
      <c r="H51" s="25"/>
      <c r="I51" s="25"/>
      <c r="J51" s="25"/>
      <c r="K51" s="26" t="str">
        <f>F5</f>
        <v>Clasifica a los usuarios según sus permisos y nivel de acceso dentro del sistema.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3" t="s">
        <v>159</v>
      </c>
      <c r="Y51" s="4" t="s">
        <v>160</v>
      </c>
    </row>
    <row r="52" spans="1:25" ht="41.25" customHeight="1" x14ac:dyDescent="0.2">
      <c r="A52" s="3" t="s">
        <v>1</v>
      </c>
      <c r="B52" s="3" t="s">
        <v>161</v>
      </c>
      <c r="C52" s="25" t="s">
        <v>162</v>
      </c>
      <c r="D52" s="25"/>
      <c r="E52" s="25"/>
      <c r="F52" s="25"/>
      <c r="G52" s="25" t="s">
        <v>163</v>
      </c>
      <c r="H52" s="25"/>
      <c r="I52" s="25"/>
      <c r="J52" s="25"/>
      <c r="K52" s="25" t="s">
        <v>164</v>
      </c>
      <c r="L52" s="25"/>
      <c r="M52" s="25"/>
      <c r="N52" s="25"/>
      <c r="O52" s="25" t="s">
        <v>165</v>
      </c>
      <c r="P52" s="25"/>
      <c r="Q52" s="25"/>
      <c r="R52" s="25" t="s">
        <v>166</v>
      </c>
      <c r="S52" s="25"/>
      <c r="T52" s="25" t="s">
        <v>167</v>
      </c>
      <c r="U52" s="25"/>
      <c r="V52" s="25" t="s">
        <v>168</v>
      </c>
      <c r="W52" s="25"/>
      <c r="X52" s="25" t="s">
        <v>169</v>
      </c>
      <c r="Y52" s="25"/>
    </row>
    <row r="53" spans="1:25" ht="72" customHeight="1" x14ac:dyDescent="0.2">
      <c r="A53" s="2">
        <v>1</v>
      </c>
      <c r="B53" s="1" t="s">
        <v>176</v>
      </c>
      <c r="C53" s="21" t="s">
        <v>197</v>
      </c>
      <c r="D53" s="21"/>
      <c r="E53" s="21"/>
      <c r="F53" s="21"/>
      <c r="G53" s="23" t="s">
        <v>172</v>
      </c>
      <c r="H53" s="23"/>
      <c r="I53" s="23"/>
      <c r="J53" s="23"/>
      <c r="K53" s="23" t="s">
        <v>173</v>
      </c>
      <c r="L53" s="23"/>
      <c r="M53" s="23"/>
      <c r="N53" s="23"/>
      <c r="O53" s="23" t="s">
        <v>174</v>
      </c>
      <c r="P53" s="23"/>
      <c r="Q53" s="23"/>
      <c r="R53" s="23" t="s">
        <v>175</v>
      </c>
      <c r="S53" s="23"/>
      <c r="T53" s="23"/>
      <c r="U53" s="23"/>
      <c r="V53" s="23"/>
      <c r="W53" s="23"/>
      <c r="X53" s="21"/>
      <c r="Y53" s="21"/>
    </row>
    <row r="54" spans="1:25" ht="72" customHeight="1" x14ac:dyDescent="0.2">
      <c r="A54" s="2">
        <v>2</v>
      </c>
      <c r="B54" s="1" t="s">
        <v>198</v>
      </c>
      <c r="C54" s="21" t="s">
        <v>199</v>
      </c>
      <c r="D54" s="21"/>
      <c r="E54" s="21"/>
      <c r="F54" s="21"/>
      <c r="G54" s="23" t="s">
        <v>184</v>
      </c>
      <c r="H54" s="23"/>
      <c r="I54" s="23"/>
      <c r="J54" s="23"/>
      <c r="K54" s="23" t="s">
        <v>200</v>
      </c>
      <c r="L54" s="23"/>
      <c r="M54" s="23"/>
      <c r="N54" s="23"/>
      <c r="O54" s="23" t="s">
        <v>174</v>
      </c>
      <c r="P54" s="23"/>
      <c r="Q54" s="23"/>
      <c r="R54" s="23"/>
      <c r="S54" s="23"/>
      <c r="T54" s="23"/>
      <c r="U54" s="23"/>
      <c r="V54" s="23" t="s">
        <v>175</v>
      </c>
      <c r="W54" s="23"/>
      <c r="X54" s="21"/>
      <c r="Y54" s="21"/>
    </row>
    <row r="55" spans="1:25" ht="72" customHeight="1" x14ac:dyDescent="0.2">
      <c r="A55" s="2">
        <v>3</v>
      </c>
      <c r="B55" s="1" t="s">
        <v>201</v>
      </c>
      <c r="C55" s="21" t="s">
        <v>202</v>
      </c>
      <c r="D55" s="21"/>
      <c r="E55" s="21"/>
      <c r="F55" s="21"/>
      <c r="G55" s="23" t="s">
        <v>184</v>
      </c>
      <c r="H55" s="23"/>
      <c r="I55" s="23"/>
      <c r="J55" s="23"/>
      <c r="K55" s="23" t="s">
        <v>193</v>
      </c>
      <c r="L55" s="23"/>
      <c r="M55" s="23"/>
      <c r="N55" s="23"/>
      <c r="O55" s="23" t="s">
        <v>203</v>
      </c>
      <c r="P55" s="23"/>
      <c r="Q55" s="23"/>
      <c r="R55" s="23"/>
      <c r="S55" s="23"/>
      <c r="T55" s="23"/>
      <c r="U55" s="23"/>
      <c r="V55" s="23"/>
      <c r="W55" s="23"/>
      <c r="X55" s="21"/>
      <c r="Y55" s="21"/>
    </row>
    <row r="56" spans="1:25" ht="26.25" customHeight="1" x14ac:dyDescent="0.2">
      <c r="A56" s="18"/>
      <c r="B56" s="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ht="26.25" customHeight="1" x14ac:dyDescent="0.2">
      <c r="A57" s="2" t="s">
        <v>195</v>
      </c>
      <c r="B57" s="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28.5" customHeight="1" x14ac:dyDescent="0.2"/>
    <row r="59" spans="1:25" ht="43.5" customHeight="1" x14ac:dyDescent="0.2">
      <c r="A59" s="16">
        <v>3</v>
      </c>
      <c r="B59" s="17" t="s">
        <v>2</v>
      </c>
      <c r="C59" s="24" t="str">
        <f>B6</f>
        <v>tipo_usuario</v>
      </c>
      <c r="D59" s="24"/>
      <c r="E59" s="24"/>
      <c r="F59" s="24"/>
      <c r="G59" s="25" t="s">
        <v>3</v>
      </c>
      <c r="H59" s="25"/>
      <c r="I59" s="25"/>
      <c r="J59" s="25"/>
      <c r="K59" s="26" t="str">
        <f>F6</f>
        <v>Clasificación académica o profesional del usuario con fines estadísticos.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3" t="s">
        <v>159</v>
      </c>
      <c r="Y59" s="4" t="s">
        <v>160</v>
      </c>
    </row>
    <row r="60" spans="1:25" ht="41.25" customHeight="1" x14ac:dyDescent="0.2">
      <c r="A60" s="3" t="s">
        <v>1</v>
      </c>
      <c r="B60" s="3" t="s">
        <v>161</v>
      </c>
      <c r="C60" s="25" t="s">
        <v>162</v>
      </c>
      <c r="D60" s="25"/>
      <c r="E60" s="25"/>
      <c r="F60" s="25"/>
      <c r="G60" s="25" t="s">
        <v>163</v>
      </c>
      <c r="H60" s="25"/>
      <c r="I60" s="25"/>
      <c r="J60" s="25"/>
      <c r="K60" s="25" t="s">
        <v>164</v>
      </c>
      <c r="L60" s="25"/>
      <c r="M60" s="25"/>
      <c r="N60" s="25"/>
      <c r="O60" s="25" t="s">
        <v>165</v>
      </c>
      <c r="P60" s="25"/>
      <c r="Q60" s="25"/>
      <c r="R60" s="25" t="s">
        <v>166</v>
      </c>
      <c r="S60" s="25"/>
      <c r="T60" s="25" t="s">
        <v>167</v>
      </c>
      <c r="U60" s="25"/>
      <c r="V60" s="25" t="s">
        <v>168</v>
      </c>
      <c r="W60" s="25"/>
      <c r="X60" s="25" t="s">
        <v>169</v>
      </c>
      <c r="Y60" s="25"/>
    </row>
    <row r="61" spans="1:25" ht="39.75" customHeight="1" x14ac:dyDescent="0.2">
      <c r="A61" s="2">
        <v>1</v>
      </c>
      <c r="B61" s="1" t="s">
        <v>179</v>
      </c>
      <c r="C61" s="21" t="s">
        <v>204</v>
      </c>
      <c r="D61" s="21"/>
      <c r="E61" s="21"/>
      <c r="F61" s="21"/>
      <c r="G61" s="23" t="s">
        <v>172</v>
      </c>
      <c r="H61" s="23"/>
      <c r="I61" s="23"/>
      <c r="J61" s="23"/>
      <c r="K61" s="23" t="s">
        <v>173</v>
      </c>
      <c r="L61" s="23"/>
      <c r="M61" s="23"/>
      <c r="N61" s="23"/>
      <c r="O61" s="23" t="s">
        <v>174</v>
      </c>
      <c r="P61" s="23"/>
      <c r="Q61" s="23"/>
      <c r="R61" s="23" t="s">
        <v>175</v>
      </c>
      <c r="S61" s="23"/>
      <c r="T61" s="23"/>
      <c r="U61" s="23"/>
      <c r="V61" s="23"/>
      <c r="W61" s="23"/>
      <c r="X61" s="21"/>
      <c r="Y61" s="21"/>
    </row>
    <row r="62" spans="1:25" ht="55.5" customHeight="1" x14ac:dyDescent="0.2">
      <c r="A62" s="2">
        <v>2</v>
      </c>
      <c r="B62" s="1" t="s">
        <v>205</v>
      </c>
      <c r="C62" s="21" t="s">
        <v>206</v>
      </c>
      <c r="D62" s="21"/>
      <c r="E62" s="21"/>
      <c r="F62" s="21"/>
      <c r="G62" s="23" t="s">
        <v>184</v>
      </c>
      <c r="H62" s="23"/>
      <c r="I62" s="23"/>
      <c r="J62" s="23"/>
      <c r="K62" s="23" t="s">
        <v>187</v>
      </c>
      <c r="L62" s="23"/>
      <c r="M62" s="23"/>
      <c r="N62" s="23"/>
      <c r="O62" s="23" t="s">
        <v>174</v>
      </c>
      <c r="P62" s="23"/>
      <c r="Q62" s="23"/>
      <c r="R62" s="23"/>
      <c r="S62" s="23"/>
      <c r="T62" s="23"/>
      <c r="U62" s="23"/>
      <c r="V62" s="23" t="s">
        <v>175</v>
      </c>
      <c r="W62" s="23"/>
      <c r="X62" s="21"/>
      <c r="Y62" s="21"/>
    </row>
    <row r="63" spans="1:25" ht="55.5" customHeight="1" x14ac:dyDescent="0.2">
      <c r="A63" s="2">
        <v>3</v>
      </c>
      <c r="B63" s="1" t="s">
        <v>201</v>
      </c>
      <c r="C63" s="21" t="s">
        <v>207</v>
      </c>
      <c r="D63" s="21"/>
      <c r="E63" s="21"/>
      <c r="F63" s="21"/>
      <c r="G63" s="23" t="s">
        <v>184</v>
      </c>
      <c r="H63" s="23"/>
      <c r="I63" s="23"/>
      <c r="J63" s="23"/>
      <c r="K63" s="23" t="s">
        <v>193</v>
      </c>
      <c r="L63" s="23"/>
      <c r="M63" s="23"/>
      <c r="N63" s="23"/>
      <c r="O63" s="23" t="s">
        <v>203</v>
      </c>
      <c r="P63" s="23"/>
      <c r="Q63" s="23"/>
      <c r="R63" s="23"/>
      <c r="S63" s="23"/>
      <c r="T63" s="23"/>
      <c r="U63" s="23"/>
      <c r="V63" s="23"/>
      <c r="W63" s="23"/>
      <c r="X63" s="21"/>
      <c r="Y63" s="21"/>
    </row>
    <row r="64" spans="1:25" ht="26.25" customHeight="1" x14ac:dyDescent="0.2">
      <c r="A64" s="18"/>
      <c r="B64" s="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ht="26.25" customHeight="1" x14ac:dyDescent="0.2">
      <c r="A65" s="2" t="s">
        <v>195</v>
      </c>
      <c r="B65" s="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ht="28.5" customHeight="1" x14ac:dyDescent="0.2"/>
    <row r="67" spans="1:25" ht="60" customHeight="1" x14ac:dyDescent="0.2">
      <c r="A67" s="16">
        <v>4</v>
      </c>
      <c r="B67" s="17" t="s">
        <v>2</v>
      </c>
      <c r="C67" s="24" t="str">
        <f>B7</f>
        <v>perfil</v>
      </c>
      <c r="D67" s="24"/>
      <c r="E67" s="24"/>
      <c r="F67" s="24"/>
      <c r="G67" s="25" t="s">
        <v>3</v>
      </c>
      <c r="H67" s="25"/>
      <c r="I67" s="25"/>
      <c r="J67" s="25"/>
      <c r="K67" s="26" t="str">
        <f>F7</f>
        <v>Extensión de la información del usuario que almacena intereses, habilidades y datos adicionales en formato JSONB.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3" t="s">
        <v>159</v>
      </c>
      <c r="Y67" s="4" t="s">
        <v>160</v>
      </c>
    </row>
    <row r="68" spans="1:25" ht="41.25" customHeight="1" x14ac:dyDescent="0.2">
      <c r="A68" s="3" t="s">
        <v>1</v>
      </c>
      <c r="B68" s="3" t="s">
        <v>161</v>
      </c>
      <c r="C68" s="25" t="s">
        <v>162</v>
      </c>
      <c r="D68" s="25"/>
      <c r="E68" s="25"/>
      <c r="F68" s="25"/>
      <c r="G68" s="25" t="s">
        <v>163</v>
      </c>
      <c r="H68" s="25"/>
      <c r="I68" s="25"/>
      <c r="J68" s="25"/>
      <c r="K68" s="25" t="s">
        <v>164</v>
      </c>
      <c r="L68" s="25"/>
      <c r="M68" s="25"/>
      <c r="N68" s="25"/>
      <c r="O68" s="25" t="s">
        <v>165</v>
      </c>
      <c r="P68" s="25"/>
      <c r="Q68" s="25"/>
      <c r="R68" s="25" t="s">
        <v>166</v>
      </c>
      <c r="S68" s="25"/>
      <c r="T68" s="25" t="s">
        <v>167</v>
      </c>
      <c r="U68" s="25"/>
      <c r="V68" s="25" t="s">
        <v>168</v>
      </c>
      <c r="W68" s="25"/>
      <c r="X68" s="25" t="s">
        <v>169</v>
      </c>
      <c r="Y68" s="25"/>
    </row>
    <row r="69" spans="1:25" ht="26.25" customHeight="1" x14ac:dyDescent="0.2">
      <c r="A69" s="2">
        <v>1</v>
      </c>
      <c r="B69" s="1" t="s">
        <v>208</v>
      </c>
      <c r="C69" s="21" t="s">
        <v>209</v>
      </c>
      <c r="D69" s="21"/>
      <c r="E69" s="21"/>
      <c r="F69" s="21"/>
      <c r="G69" s="23" t="s">
        <v>172</v>
      </c>
      <c r="H69" s="23"/>
      <c r="I69" s="23"/>
      <c r="J69" s="23"/>
      <c r="K69" s="23" t="s">
        <v>173</v>
      </c>
      <c r="L69" s="23"/>
      <c r="M69" s="23"/>
      <c r="N69" s="23"/>
      <c r="O69" s="23" t="s">
        <v>174</v>
      </c>
      <c r="P69" s="23"/>
      <c r="Q69" s="23"/>
      <c r="R69" s="23" t="s">
        <v>175</v>
      </c>
      <c r="S69" s="23"/>
      <c r="T69" s="23"/>
      <c r="U69" s="23"/>
      <c r="V69" s="23"/>
      <c r="W69" s="23"/>
      <c r="X69" s="21"/>
      <c r="Y69" s="21"/>
    </row>
    <row r="70" spans="1:25" ht="55.5" customHeight="1" x14ac:dyDescent="0.2">
      <c r="A70" s="2">
        <v>2</v>
      </c>
      <c r="B70" s="1" t="s">
        <v>170</v>
      </c>
      <c r="C70" s="21" t="s">
        <v>210</v>
      </c>
      <c r="D70" s="21"/>
      <c r="E70" s="21"/>
      <c r="F70" s="21"/>
      <c r="G70" s="23" t="s">
        <v>110</v>
      </c>
      <c r="H70" s="23"/>
      <c r="I70" s="23"/>
      <c r="J70" s="23"/>
      <c r="K70" s="23" t="s">
        <v>173</v>
      </c>
      <c r="L70" s="23"/>
      <c r="M70" s="23"/>
      <c r="N70" s="23"/>
      <c r="O70" s="23" t="s">
        <v>174</v>
      </c>
      <c r="P70" s="23"/>
      <c r="Q70" s="23"/>
      <c r="R70" s="23"/>
      <c r="S70" s="23"/>
      <c r="T70" s="23" t="s">
        <v>175</v>
      </c>
      <c r="U70" s="23"/>
      <c r="V70" s="23" t="s">
        <v>175</v>
      </c>
      <c r="W70" s="23"/>
      <c r="X70" s="21" t="s">
        <v>211</v>
      </c>
      <c r="Y70" s="21"/>
    </row>
    <row r="71" spans="1:25" ht="39.75" customHeight="1" x14ac:dyDescent="0.2">
      <c r="A71" s="2">
        <v>3</v>
      </c>
      <c r="B71" s="1" t="s">
        <v>212</v>
      </c>
      <c r="C71" s="21" t="s">
        <v>213</v>
      </c>
      <c r="D71" s="21"/>
      <c r="E71" s="21"/>
      <c r="F71" s="21"/>
      <c r="G71" s="23" t="s">
        <v>184</v>
      </c>
      <c r="H71" s="23"/>
      <c r="I71" s="23"/>
      <c r="J71" s="23"/>
      <c r="K71" s="23" t="s">
        <v>193</v>
      </c>
      <c r="L71" s="23"/>
      <c r="M71" s="23"/>
      <c r="N71" s="23"/>
      <c r="O71" s="23" t="s">
        <v>203</v>
      </c>
      <c r="P71" s="23"/>
      <c r="Q71" s="23"/>
      <c r="R71" s="23"/>
      <c r="S71" s="23"/>
      <c r="T71" s="23"/>
      <c r="U71" s="23"/>
      <c r="V71" s="23"/>
      <c r="W71" s="23"/>
      <c r="X71" s="21"/>
      <c r="Y71" s="21"/>
    </row>
    <row r="72" spans="1:25" ht="39.75" customHeight="1" x14ac:dyDescent="0.2">
      <c r="A72" s="2">
        <v>4</v>
      </c>
      <c r="B72" s="1" t="s">
        <v>214</v>
      </c>
      <c r="C72" s="21" t="s">
        <v>215</v>
      </c>
      <c r="D72" s="21"/>
      <c r="E72" s="21"/>
      <c r="F72" s="21"/>
      <c r="G72" s="23" t="s">
        <v>184</v>
      </c>
      <c r="H72" s="23"/>
      <c r="I72" s="23"/>
      <c r="J72" s="23"/>
      <c r="K72" s="23" t="s">
        <v>216</v>
      </c>
      <c r="L72" s="23"/>
      <c r="M72" s="23"/>
      <c r="N72" s="23"/>
      <c r="O72" s="23" t="s">
        <v>203</v>
      </c>
      <c r="P72" s="23"/>
      <c r="Q72" s="23"/>
      <c r="R72" s="23"/>
      <c r="S72" s="23"/>
      <c r="T72" s="23"/>
      <c r="U72" s="23"/>
      <c r="V72" s="23"/>
      <c r="W72" s="23"/>
      <c r="X72" s="21"/>
      <c r="Y72" s="21"/>
    </row>
    <row r="73" spans="1:25" ht="39.75" customHeight="1" x14ac:dyDescent="0.2">
      <c r="A73" s="2">
        <v>5</v>
      </c>
      <c r="B73" s="1" t="s">
        <v>217</v>
      </c>
      <c r="C73" s="21" t="s">
        <v>218</v>
      </c>
      <c r="D73" s="21"/>
      <c r="E73" s="21"/>
      <c r="F73" s="21"/>
      <c r="G73" s="23" t="s">
        <v>132</v>
      </c>
      <c r="H73" s="23"/>
      <c r="I73" s="23"/>
      <c r="J73" s="23"/>
      <c r="K73" s="23"/>
      <c r="L73" s="23"/>
      <c r="M73" s="23"/>
      <c r="N73" s="23"/>
      <c r="O73" s="23" t="s">
        <v>174</v>
      </c>
      <c r="P73" s="23"/>
      <c r="Q73" s="23"/>
      <c r="R73" s="23"/>
      <c r="S73" s="23"/>
      <c r="T73" s="23"/>
      <c r="U73" s="23"/>
      <c r="V73" s="23"/>
      <c r="W73" s="23"/>
      <c r="X73" s="21" t="s">
        <v>219</v>
      </c>
      <c r="Y73" s="21"/>
    </row>
    <row r="74" spans="1:25" ht="26.25" customHeight="1" x14ac:dyDescent="0.2">
      <c r="A74" s="18"/>
      <c r="B74" s="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ht="26.25" customHeight="1" x14ac:dyDescent="0.2">
      <c r="A75" s="2" t="s">
        <v>195</v>
      </c>
      <c r="B75" s="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ht="28.5" customHeight="1" x14ac:dyDescent="0.2"/>
    <row r="77" spans="1:25" ht="60" customHeight="1" x14ac:dyDescent="0.2">
      <c r="A77" s="16">
        <v>5</v>
      </c>
      <c r="B77" s="17" t="s">
        <v>2</v>
      </c>
      <c r="C77" s="24" t="str">
        <f>B8</f>
        <v>interes</v>
      </c>
      <c r="D77" s="24"/>
      <c r="E77" s="24"/>
      <c r="F77" s="24"/>
      <c r="G77" s="25" t="s">
        <v>3</v>
      </c>
      <c r="H77" s="25"/>
      <c r="I77" s="25"/>
      <c r="J77" s="25"/>
      <c r="K77" s="26" t="str">
        <f>F8</f>
        <v>Catálogo de intereses personales (fotografía, videojuegos, lectura, etc.) que los usuarios pueden asociar a su cuenta.</v>
      </c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3" t="s">
        <v>159</v>
      </c>
      <c r="Y77" s="4" t="s">
        <v>160</v>
      </c>
    </row>
    <row r="78" spans="1:25" ht="41.25" customHeight="1" x14ac:dyDescent="0.2">
      <c r="A78" s="3" t="s">
        <v>1</v>
      </c>
      <c r="B78" s="3" t="s">
        <v>161</v>
      </c>
      <c r="C78" s="25" t="s">
        <v>162</v>
      </c>
      <c r="D78" s="25"/>
      <c r="E78" s="25"/>
      <c r="F78" s="25"/>
      <c r="G78" s="25" t="s">
        <v>163</v>
      </c>
      <c r="H78" s="25"/>
      <c r="I78" s="25"/>
      <c r="J78" s="25"/>
      <c r="K78" s="25" t="s">
        <v>164</v>
      </c>
      <c r="L78" s="25"/>
      <c r="M78" s="25"/>
      <c r="N78" s="25"/>
      <c r="O78" s="25" t="s">
        <v>165</v>
      </c>
      <c r="P78" s="25"/>
      <c r="Q78" s="25"/>
      <c r="R78" s="25" t="s">
        <v>166</v>
      </c>
      <c r="S78" s="25"/>
      <c r="T78" s="25" t="s">
        <v>167</v>
      </c>
      <c r="U78" s="25"/>
      <c r="V78" s="25" t="s">
        <v>168</v>
      </c>
      <c r="W78" s="25"/>
      <c r="X78" s="25" t="s">
        <v>169</v>
      </c>
      <c r="Y78" s="25"/>
    </row>
    <row r="79" spans="1:25" ht="26.25" customHeight="1" x14ac:dyDescent="0.2">
      <c r="A79" s="2">
        <v>1</v>
      </c>
      <c r="B79" s="1" t="s">
        <v>220</v>
      </c>
      <c r="C79" s="21" t="s">
        <v>221</v>
      </c>
      <c r="D79" s="21"/>
      <c r="E79" s="21"/>
      <c r="F79" s="21"/>
      <c r="G79" s="23" t="s">
        <v>172</v>
      </c>
      <c r="H79" s="23"/>
      <c r="I79" s="23"/>
      <c r="J79" s="23"/>
      <c r="K79" s="23" t="s">
        <v>173</v>
      </c>
      <c r="L79" s="23"/>
      <c r="M79" s="23"/>
      <c r="N79" s="23"/>
      <c r="O79" s="23" t="s">
        <v>174</v>
      </c>
      <c r="P79" s="23"/>
      <c r="Q79" s="23"/>
      <c r="R79" s="23" t="s">
        <v>175</v>
      </c>
      <c r="S79" s="23"/>
      <c r="T79" s="23"/>
      <c r="U79" s="23"/>
      <c r="V79" s="23"/>
      <c r="W79" s="23"/>
      <c r="X79" s="21"/>
      <c r="Y79" s="21"/>
    </row>
    <row r="80" spans="1:25" ht="39.75" customHeight="1" x14ac:dyDescent="0.2">
      <c r="A80" s="2">
        <v>2</v>
      </c>
      <c r="B80" s="1" t="s">
        <v>222</v>
      </c>
      <c r="C80" s="21" t="s">
        <v>223</v>
      </c>
      <c r="D80" s="21"/>
      <c r="E80" s="21"/>
      <c r="F80" s="21"/>
      <c r="G80" s="23" t="s">
        <v>184</v>
      </c>
      <c r="H80" s="23"/>
      <c r="I80" s="23"/>
      <c r="J80" s="23"/>
      <c r="K80" s="23" t="s">
        <v>187</v>
      </c>
      <c r="L80" s="23"/>
      <c r="M80" s="23"/>
      <c r="N80" s="23"/>
      <c r="O80" s="23" t="s">
        <v>174</v>
      </c>
      <c r="P80" s="23"/>
      <c r="Q80" s="23"/>
      <c r="R80" s="23"/>
      <c r="S80" s="23"/>
      <c r="T80" s="23"/>
      <c r="U80" s="23"/>
      <c r="V80" s="23" t="s">
        <v>175</v>
      </c>
      <c r="W80" s="23"/>
      <c r="X80" s="21"/>
      <c r="Y80" s="21"/>
    </row>
    <row r="81" spans="1:25" ht="26.25" customHeight="1" x14ac:dyDescent="0.2">
      <c r="A81" s="18"/>
      <c r="B81" s="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1:25" ht="26.25" customHeight="1" x14ac:dyDescent="0.2">
      <c r="A82" s="2" t="s">
        <v>195</v>
      </c>
      <c r="B82" s="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25" ht="28.5" customHeight="1" x14ac:dyDescent="0.2"/>
    <row r="84" spans="1:25" ht="60" customHeight="1" x14ac:dyDescent="0.2">
      <c r="A84" s="16">
        <v>6</v>
      </c>
      <c r="B84" s="17" t="s">
        <v>2</v>
      </c>
      <c r="C84" s="24" t="str">
        <f>B9</f>
        <v>habilidad</v>
      </c>
      <c r="D84" s="24"/>
      <c r="E84" s="24"/>
      <c r="F84" s="24"/>
      <c r="G84" s="25" t="s">
        <v>3</v>
      </c>
      <c r="H84" s="25"/>
      <c r="I84" s="25"/>
      <c r="J84" s="25"/>
      <c r="K84" s="26" t="str">
        <f>F9</f>
        <v>Catálogo de habilidades (programación, diseño gráfico, etc.) que los usuarios pueden declarar en su cuenta.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3" t="s">
        <v>159</v>
      </c>
      <c r="Y84" s="4" t="s">
        <v>160</v>
      </c>
    </row>
    <row r="85" spans="1:25" ht="41.25" customHeight="1" x14ac:dyDescent="0.2">
      <c r="A85" s="3" t="s">
        <v>1</v>
      </c>
      <c r="B85" s="3" t="s">
        <v>161</v>
      </c>
      <c r="C85" s="25" t="s">
        <v>162</v>
      </c>
      <c r="D85" s="25"/>
      <c r="E85" s="25"/>
      <c r="F85" s="25"/>
      <c r="G85" s="25" t="s">
        <v>163</v>
      </c>
      <c r="H85" s="25"/>
      <c r="I85" s="25"/>
      <c r="J85" s="25"/>
      <c r="K85" s="25" t="s">
        <v>164</v>
      </c>
      <c r="L85" s="25"/>
      <c r="M85" s="25"/>
      <c r="N85" s="25"/>
      <c r="O85" s="25" t="s">
        <v>165</v>
      </c>
      <c r="P85" s="25"/>
      <c r="Q85" s="25"/>
      <c r="R85" s="25" t="s">
        <v>166</v>
      </c>
      <c r="S85" s="25"/>
      <c r="T85" s="25" t="s">
        <v>167</v>
      </c>
      <c r="U85" s="25"/>
      <c r="V85" s="25" t="s">
        <v>168</v>
      </c>
      <c r="W85" s="25"/>
      <c r="X85" s="25" t="s">
        <v>169</v>
      </c>
      <c r="Y85" s="25"/>
    </row>
    <row r="86" spans="1:25" ht="26.25" customHeight="1" x14ac:dyDescent="0.2">
      <c r="A86" s="2">
        <v>1</v>
      </c>
      <c r="B86" s="1" t="s">
        <v>224</v>
      </c>
      <c r="C86" s="21" t="s">
        <v>225</v>
      </c>
      <c r="D86" s="21"/>
      <c r="E86" s="21"/>
      <c r="F86" s="21"/>
      <c r="G86" s="23" t="s">
        <v>172</v>
      </c>
      <c r="H86" s="23"/>
      <c r="I86" s="23"/>
      <c r="J86" s="23"/>
      <c r="K86" s="23" t="s">
        <v>173</v>
      </c>
      <c r="L86" s="23"/>
      <c r="M86" s="23"/>
      <c r="N86" s="23"/>
      <c r="O86" s="23" t="s">
        <v>174</v>
      </c>
      <c r="P86" s="23"/>
      <c r="Q86" s="23"/>
      <c r="R86" s="23" t="s">
        <v>175</v>
      </c>
      <c r="S86" s="23"/>
      <c r="T86" s="23"/>
      <c r="U86" s="23"/>
      <c r="V86" s="23"/>
      <c r="W86" s="23"/>
      <c r="X86" s="21"/>
      <c r="Y86" s="21"/>
    </row>
    <row r="87" spans="1:25" ht="39.75" customHeight="1" x14ac:dyDescent="0.2">
      <c r="A87" s="2">
        <v>2</v>
      </c>
      <c r="B87" s="1" t="s">
        <v>226</v>
      </c>
      <c r="C87" s="21" t="s">
        <v>227</v>
      </c>
      <c r="D87" s="21"/>
      <c r="E87" s="21"/>
      <c r="F87" s="21"/>
      <c r="G87" s="23" t="s">
        <v>184</v>
      </c>
      <c r="H87" s="23"/>
      <c r="I87" s="23"/>
      <c r="J87" s="23"/>
      <c r="K87" s="23" t="s">
        <v>187</v>
      </c>
      <c r="L87" s="23"/>
      <c r="M87" s="23"/>
      <c r="N87" s="23"/>
      <c r="O87" s="23" t="s">
        <v>174</v>
      </c>
      <c r="P87" s="23"/>
      <c r="Q87" s="23"/>
      <c r="R87" s="23"/>
      <c r="S87" s="23"/>
      <c r="T87" s="23"/>
      <c r="U87" s="23"/>
      <c r="V87" s="23" t="s">
        <v>175</v>
      </c>
      <c r="W87" s="23"/>
      <c r="X87" s="21"/>
      <c r="Y87" s="21"/>
    </row>
    <row r="88" spans="1:25" ht="26.25" customHeight="1" x14ac:dyDescent="0.2">
      <c r="A88" s="18"/>
      <c r="B88" s="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1:25" ht="26.25" customHeight="1" x14ac:dyDescent="0.2">
      <c r="A89" s="2" t="s">
        <v>195</v>
      </c>
      <c r="B89" s="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1:25" ht="28.5" customHeight="1" x14ac:dyDescent="0.2"/>
    <row r="91" spans="1:25" ht="43.5" customHeight="1" x14ac:dyDescent="0.2">
      <c r="A91" s="16">
        <v>7</v>
      </c>
      <c r="B91" s="17" t="s">
        <v>2</v>
      </c>
      <c r="C91" s="24" t="str">
        <f>B10</f>
        <v>publicacion</v>
      </c>
      <c r="D91" s="24"/>
      <c r="E91" s="24"/>
      <c r="F91" s="24"/>
      <c r="G91" s="25" t="s">
        <v>3</v>
      </c>
      <c r="H91" s="25"/>
      <c r="I91" s="25"/>
      <c r="J91" s="25"/>
      <c r="K91" s="26" t="str">
        <f>F10</f>
        <v>Contenido compartido por un usuario en el muro de la red social.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3" t="s">
        <v>159</v>
      </c>
      <c r="Y91" s="4" t="s">
        <v>160</v>
      </c>
    </row>
    <row r="92" spans="1:25" ht="41.25" customHeight="1" x14ac:dyDescent="0.2">
      <c r="A92" s="3" t="s">
        <v>1</v>
      </c>
      <c r="B92" s="3" t="s">
        <v>161</v>
      </c>
      <c r="C92" s="25" t="s">
        <v>162</v>
      </c>
      <c r="D92" s="25"/>
      <c r="E92" s="25"/>
      <c r="F92" s="25"/>
      <c r="G92" s="25" t="s">
        <v>163</v>
      </c>
      <c r="H92" s="25"/>
      <c r="I92" s="25"/>
      <c r="J92" s="25"/>
      <c r="K92" s="25" t="s">
        <v>164</v>
      </c>
      <c r="L92" s="25"/>
      <c r="M92" s="25"/>
      <c r="N92" s="25"/>
      <c r="O92" s="25" t="s">
        <v>165</v>
      </c>
      <c r="P92" s="25"/>
      <c r="Q92" s="25"/>
      <c r="R92" s="25" t="s">
        <v>166</v>
      </c>
      <c r="S92" s="25"/>
      <c r="T92" s="25" t="s">
        <v>167</v>
      </c>
      <c r="U92" s="25"/>
      <c r="V92" s="25" t="s">
        <v>168</v>
      </c>
      <c r="W92" s="25"/>
      <c r="X92" s="25" t="s">
        <v>169</v>
      </c>
      <c r="Y92" s="25"/>
    </row>
    <row r="93" spans="1:25" ht="39.75" customHeight="1" x14ac:dyDescent="0.2">
      <c r="A93" s="2">
        <v>1</v>
      </c>
      <c r="B93" s="1" t="s">
        <v>228</v>
      </c>
      <c r="C93" s="21" t="s">
        <v>229</v>
      </c>
      <c r="D93" s="21"/>
      <c r="E93" s="21"/>
      <c r="F93" s="21"/>
      <c r="G93" s="23" t="s">
        <v>172</v>
      </c>
      <c r="H93" s="23"/>
      <c r="I93" s="23"/>
      <c r="J93" s="23"/>
      <c r="K93" s="23" t="s">
        <v>173</v>
      </c>
      <c r="L93" s="23"/>
      <c r="M93" s="23"/>
      <c r="N93" s="23"/>
      <c r="O93" s="23" t="s">
        <v>174</v>
      </c>
      <c r="P93" s="23"/>
      <c r="Q93" s="23"/>
      <c r="R93" s="23" t="s">
        <v>175</v>
      </c>
      <c r="S93" s="23"/>
      <c r="T93" s="23"/>
      <c r="U93" s="23"/>
      <c r="V93" s="23"/>
      <c r="W93" s="23"/>
      <c r="X93" s="21"/>
      <c r="Y93" s="21"/>
    </row>
    <row r="94" spans="1:25" ht="39.75" customHeight="1" x14ac:dyDescent="0.2">
      <c r="A94" s="2">
        <v>2</v>
      </c>
      <c r="B94" s="1" t="s">
        <v>170</v>
      </c>
      <c r="C94" s="21" t="s">
        <v>230</v>
      </c>
      <c r="D94" s="21"/>
      <c r="E94" s="21"/>
      <c r="F94" s="21"/>
      <c r="G94" s="23" t="s">
        <v>110</v>
      </c>
      <c r="H94" s="23"/>
      <c r="I94" s="23"/>
      <c r="J94" s="23"/>
      <c r="K94" s="23" t="s">
        <v>173</v>
      </c>
      <c r="L94" s="23"/>
      <c r="M94" s="23"/>
      <c r="N94" s="23"/>
      <c r="O94" s="23" t="s">
        <v>174</v>
      </c>
      <c r="P94" s="23"/>
      <c r="Q94" s="23"/>
      <c r="R94" s="23"/>
      <c r="S94" s="23"/>
      <c r="T94" s="23" t="s">
        <v>175</v>
      </c>
      <c r="U94" s="23"/>
      <c r="V94" s="23"/>
      <c r="W94" s="23"/>
      <c r="X94" s="21" t="s">
        <v>231</v>
      </c>
      <c r="Y94" s="21"/>
    </row>
    <row r="95" spans="1:25" ht="39.75" customHeight="1" x14ac:dyDescent="0.2">
      <c r="A95" s="2">
        <v>3</v>
      </c>
      <c r="B95" s="1" t="s">
        <v>232</v>
      </c>
      <c r="C95" s="21" t="s">
        <v>233</v>
      </c>
      <c r="D95" s="21"/>
      <c r="E95" s="21"/>
      <c r="F95" s="21"/>
      <c r="G95" s="23" t="s">
        <v>184</v>
      </c>
      <c r="H95" s="23"/>
      <c r="I95" s="23"/>
      <c r="J95" s="23"/>
      <c r="K95" s="23" t="s">
        <v>234</v>
      </c>
      <c r="L95" s="23"/>
      <c r="M95" s="23"/>
      <c r="N95" s="23"/>
      <c r="O95" s="23" t="s">
        <v>203</v>
      </c>
      <c r="P95" s="23"/>
      <c r="Q95" s="23"/>
      <c r="R95" s="23"/>
      <c r="S95" s="23"/>
      <c r="T95" s="23"/>
      <c r="U95" s="23"/>
      <c r="V95" s="23"/>
      <c r="W95" s="23"/>
      <c r="X95" s="21"/>
      <c r="Y95" s="21"/>
    </row>
    <row r="96" spans="1:25" ht="39.75" customHeight="1" x14ac:dyDescent="0.2">
      <c r="A96" s="2">
        <v>4</v>
      </c>
      <c r="B96" s="1" t="s">
        <v>235</v>
      </c>
      <c r="C96" s="21" t="s">
        <v>236</v>
      </c>
      <c r="D96" s="21"/>
      <c r="E96" s="21"/>
      <c r="F96" s="21"/>
      <c r="G96" s="23" t="s">
        <v>184</v>
      </c>
      <c r="H96" s="23"/>
      <c r="I96" s="23"/>
      <c r="J96" s="23"/>
      <c r="K96" s="23" t="s">
        <v>193</v>
      </c>
      <c r="L96" s="23"/>
      <c r="M96" s="23"/>
      <c r="N96" s="23"/>
      <c r="O96" s="23" t="s">
        <v>203</v>
      </c>
      <c r="P96" s="23"/>
      <c r="Q96" s="23"/>
      <c r="R96" s="23"/>
      <c r="S96" s="23"/>
      <c r="T96" s="23"/>
      <c r="U96" s="23"/>
      <c r="V96" s="23"/>
      <c r="W96" s="23"/>
      <c r="X96" s="21"/>
      <c r="Y96" s="21"/>
    </row>
    <row r="97" spans="1:25" ht="39.75" customHeight="1" x14ac:dyDescent="0.2">
      <c r="A97" s="2">
        <v>5</v>
      </c>
      <c r="B97" s="1" t="s">
        <v>237</v>
      </c>
      <c r="C97" s="21" t="s">
        <v>238</v>
      </c>
      <c r="D97" s="21"/>
      <c r="E97" s="21"/>
      <c r="F97" s="21"/>
      <c r="G97" s="23" t="s">
        <v>132</v>
      </c>
      <c r="H97" s="23"/>
      <c r="I97" s="23"/>
      <c r="J97" s="23"/>
      <c r="K97" s="23"/>
      <c r="L97" s="23"/>
      <c r="M97" s="23"/>
      <c r="N97" s="23"/>
      <c r="O97" s="23" t="s">
        <v>174</v>
      </c>
      <c r="P97" s="23"/>
      <c r="Q97" s="23"/>
      <c r="R97" s="23"/>
      <c r="S97" s="23"/>
      <c r="T97" s="23"/>
      <c r="U97" s="23"/>
      <c r="V97" s="23"/>
      <c r="W97" s="23"/>
      <c r="X97" s="21" t="s">
        <v>239</v>
      </c>
      <c r="Y97" s="21"/>
    </row>
    <row r="98" spans="1:25" ht="39.75" customHeight="1" x14ac:dyDescent="0.2">
      <c r="A98" s="2">
        <v>6</v>
      </c>
      <c r="B98" s="1" t="s">
        <v>240</v>
      </c>
      <c r="C98" s="21" t="s">
        <v>241</v>
      </c>
      <c r="D98" s="21"/>
      <c r="E98" s="21"/>
      <c r="F98" s="21"/>
      <c r="G98" s="23" t="s">
        <v>184</v>
      </c>
      <c r="H98" s="23"/>
      <c r="I98" s="23"/>
      <c r="J98" s="23"/>
      <c r="K98" s="23" t="s">
        <v>242</v>
      </c>
      <c r="L98" s="23"/>
      <c r="M98" s="23"/>
      <c r="N98" s="23"/>
      <c r="O98" s="23" t="s">
        <v>174</v>
      </c>
      <c r="P98" s="23"/>
      <c r="Q98" s="23"/>
      <c r="R98" s="23"/>
      <c r="S98" s="23"/>
      <c r="T98" s="23"/>
      <c r="U98" s="23"/>
      <c r="V98" s="23"/>
      <c r="W98" s="23"/>
      <c r="X98" s="21" t="s">
        <v>243</v>
      </c>
      <c r="Y98" s="21"/>
    </row>
    <row r="99" spans="1:25" ht="26.25" customHeight="1" x14ac:dyDescent="0.2">
      <c r="A99" s="18"/>
      <c r="B99" s="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1:25" ht="26.25" customHeight="1" x14ac:dyDescent="0.2">
      <c r="A100" s="2" t="s">
        <v>195</v>
      </c>
      <c r="B100" s="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 ht="28.5" customHeight="1" x14ac:dyDescent="0.2"/>
    <row r="102" spans="1:25" ht="43.5" customHeight="1" x14ac:dyDescent="0.2">
      <c r="A102" s="16">
        <v>8</v>
      </c>
      <c r="B102" s="17" t="s">
        <v>2</v>
      </c>
      <c r="C102" s="24" t="str">
        <f>B11</f>
        <v>comentario</v>
      </c>
      <c r="D102" s="24"/>
      <c r="E102" s="24"/>
      <c r="F102" s="24"/>
      <c r="G102" s="25" t="s">
        <v>3</v>
      </c>
      <c r="H102" s="25"/>
      <c r="I102" s="25"/>
      <c r="J102" s="25"/>
      <c r="K102" s="26" t="str">
        <f>F11</f>
        <v>Respuesta o reacción escrita que un usuario realiza sobre una publicación específica.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3" t="s">
        <v>159</v>
      </c>
      <c r="Y102" s="4" t="s">
        <v>160</v>
      </c>
    </row>
    <row r="103" spans="1:25" ht="41.25" customHeight="1" x14ac:dyDescent="0.2">
      <c r="A103" s="3" t="s">
        <v>1</v>
      </c>
      <c r="B103" s="3" t="s">
        <v>161</v>
      </c>
      <c r="C103" s="25" t="s">
        <v>162</v>
      </c>
      <c r="D103" s="25"/>
      <c r="E103" s="25"/>
      <c r="F103" s="25"/>
      <c r="G103" s="25" t="s">
        <v>163</v>
      </c>
      <c r="H103" s="25"/>
      <c r="I103" s="25"/>
      <c r="J103" s="25"/>
      <c r="K103" s="25" t="s">
        <v>164</v>
      </c>
      <c r="L103" s="25"/>
      <c r="M103" s="25"/>
      <c r="N103" s="25"/>
      <c r="O103" s="25" t="s">
        <v>165</v>
      </c>
      <c r="P103" s="25"/>
      <c r="Q103" s="25"/>
      <c r="R103" s="25" t="s">
        <v>166</v>
      </c>
      <c r="S103" s="25"/>
      <c r="T103" s="25" t="s">
        <v>167</v>
      </c>
      <c r="U103" s="25"/>
      <c r="V103" s="25" t="s">
        <v>168</v>
      </c>
      <c r="W103" s="25"/>
      <c r="X103" s="25" t="s">
        <v>169</v>
      </c>
      <c r="Y103" s="25"/>
    </row>
    <row r="104" spans="1:25" ht="39.75" customHeight="1" x14ac:dyDescent="0.2">
      <c r="A104" s="2">
        <v>1</v>
      </c>
      <c r="B104" s="1" t="s">
        <v>244</v>
      </c>
      <c r="C104" s="21" t="s">
        <v>245</v>
      </c>
      <c r="D104" s="21"/>
      <c r="E104" s="21"/>
      <c r="F104" s="21"/>
      <c r="G104" s="23" t="s">
        <v>172</v>
      </c>
      <c r="H104" s="23"/>
      <c r="I104" s="23"/>
      <c r="J104" s="23"/>
      <c r="K104" s="23" t="s">
        <v>173</v>
      </c>
      <c r="L104" s="23"/>
      <c r="M104" s="23"/>
      <c r="N104" s="23"/>
      <c r="O104" s="23" t="s">
        <v>174</v>
      </c>
      <c r="P104" s="23"/>
      <c r="Q104" s="23"/>
      <c r="R104" s="23" t="s">
        <v>175</v>
      </c>
      <c r="S104" s="23"/>
      <c r="T104" s="23"/>
      <c r="U104" s="23"/>
      <c r="V104" s="23"/>
      <c r="W104" s="23"/>
      <c r="X104" s="21"/>
      <c r="Y104" s="21"/>
    </row>
    <row r="105" spans="1:25" ht="39.75" customHeight="1" x14ac:dyDescent="0.2">
      <c r="A105" s="2">
        <v>2</v>
      </c>
      <c r="B105" s="1" t="s">
        <v>228</v>
      </c>
      <c r="C105" s="21" t="s">
        <v>246</v>
      </c>
      <c r="D105" s="21"/>
      <c r="E105" s="21"/>
      <c r="F105" s="21"/>
      <c r="G105" s="23" t="s">
        <v>110</v>
      </c>
      <c r="H105" s="23"/>
      <c r="I105" s="23"/>
      <c r="J105" s="23"/>
      <c r="K105" s="23" t="s">
        <v>173</v>
      </c>
      <c r="L105" s="23"/>
      <c r="M105" s="23"/>
      <c r="N105" s="23"/>
      <c r="O105" s="23" t="s">
        <v>174</v>
      </c>
      <c r="P105" s="23"/>
      <c r="Q105" s="23"/>
      <c r="R105" s="23"/>
      <c r="S105" s="23"/>
      <c r="T105" s="23" t="s">
        <v>175</v>
      </c>
      <c r="U105" s="23"/>
      <c r="V105" s="23"/>
      <c r="W105" s="23"/>
      <c r="X105" s="21" t="s">
        <v>247</v>
      </c>
      <c r="Y105" s="21"/>
    </row>
    <row r="106" spans="1:25" ht="39.75" customHeight="1" x14ac:dyDescent="0.2">
      <c r="A106" s="2">
        <v>3</v>
      </c>
      <c r="B106" s="1" t="s">
        <v>170</v>
      </c>
      <c r="C106" s="21" t="s">
        <v>248</v>
      </c>
      <c r="D106" s="21"/>
      <c r="E106" s="21"/>
      <c r="F106" s="21"/>
      <c r="G106" s="23" t="s">
        <v>110</v>
      </c>
      <c r="H106" s="23"/>
      <c r="I106" s="23"/>
      <c r="J106" s="23"/>
      <c r="K106" s="23" t="s">
        <v>173</v>
      </c>
      <c r="L106" s="23"/>
      <c r="M106" s="23"/>
      <c r="N106" s="23"/>
      <c r="O106" s="23" t="s">
        <v>174</v>
      </c>
      <c r="P106" s="23"/>
      <c r="Q106" s="23"/>
      <c r="R106" s="23"/>
      <c r="S106" s="23"/>
      <c r="T106" s="23" t="s">
        <v>175</v>
      </c>
      <c r="U106" s="23"/>
      <c r="V106" s="23"/>
      <c r="W106" s="23"/>
      <c r="X106" s="21" t="s">
        <v>231</v>
      </c>
      <c r="Y106" s="21"/>
    </row>
    <row r="107" spans="1:25" ht="39.75" customHeight="1" x14ac:dyDescent="0.2">
      <c r="A107" s="2">
        <v>4</v>
      </c>
      <c r="B107" s="1" t="s">
        <v>249</v>
      </c>
      <c r="C107" s="21" t="s">
        <v>250</v>
      </c>
      <c r="D107" s="21"/>
      <c r="E107" s="21"/>
      <c r="F107" s="21"/>
      <c r="G107" s="23" t="s">
        <v>184</v>
      </c>
      <c r="H107" s="23"/>
      <c r="I107" s="23"/>
      <c r="J107" s="23"/>
      <c r="K107" s="23" t="s">
        <v>216</v>
      </c>
      <c r="L107" s="23"/>
      <c r="M107" s="23"/>
      <c r="N107" s="23"/>
      <c r="O107" s="23" t="s">
        <v>174</v>
      </c>
      <c r="P107" s="23"/>
      <c r="Q107" s="23"/>
      <c r="R107" s="23"/>
      <c r="S107" s="23"/>
      <c r="T107" s="23"/>
      <c r="U107" s="23"/>
      <c r="V107" s="23"/>
      <c r="W107" s="23"/>
      <c r="X107" s="21"/>
      <c r="Y107" s="21"/>
    </row>
    <row r="108" spans="1:25" ht="39.75" customHeight="1" x14ac:dyDescent="0.2">
      <c r="A108" s="2">
        <v>5</v>
      </c>
      <c r="B108" s="1" t="s">
        <v>251</v>
      </c>
      <c r="C108" s="21" t="s">
        <v>252</v>
      </c>
      <c r="D108" s="21"/>
      <c r="E108" s="21"/>
      <c r="F108" s="21"/>
      <c r="G108" s="23" t="s">
        <v>132</v>
      </c>
      <c r="H108" s="23"/>
      <c r="I108" s="23"/>
      <c r="J108" s="23"/>
      <c r="K108" s="23"/>
      <c r="L108" s="23"/>
      <c r="M108" s="23"/>
      <c r="N108" s="23"/>
      <c r="O108" s="23" t="s">
        <v>174</v>
      </c>
      <c r="P108" s="23"/>
      <c r="Q108" s="23"/>
      <c r="R108" s="23"/>
      <c r="S108" s="23"/>
      <c r="T108" s="23"/>
      <c r="U108" s="23"/>
      <c r="V108" s="23"/>
      <c r="W108" s="23"/>
      <c r="X108" s="21" t="s">
        <v>239</v>
      </c>
      <c r="Y108" s="21"/>
    </row>
    <row r="109" spans="1:25" ht="39.75" customHeight="1" x14ac:dyDescent="0.2">
      <c r="A109" s="2">
        <v>6</v>
      </c>
      <c r="B109" s="1" t="s">
        <v>253</v>
      </c>
      <c r="C109" s="21" t="s">
        <v>254</v>
      </c>
      <c r="D109" s="21"/>
      <c r="E109" s="21"/>
      <c r="F109" s="21"/>
      <c r="G109" s="23" t="s">
        <v>110</v>
      </c>
      <c r="H109" s="23"/>
      <c r="I109" s="23"/>
      <c r="J109" s="23"/>
      <c r="K109" s="23" t="s">
        <v>173</v>
      </c>
      <c r="L109" s="23"/>
      <c r="M109" s="23"/>
      <c r="N109" s="23"/>
      <c r="O109" s="23" t="s">
        <v>203</v>
      </c>
      <c r="P109" s="23"/>
      <c r="Q109" s="23"/>
      <c r="R109" s="23"/>
      <c r="S109" s="23"/>
      <c r="T109" s="23" t="s">
        <v>175</v>
      </c>
      <c r="U109" s="23"/>
      <c r="V109" s="23"/>
      <c r="W109" s="23"/>
      <c r="X109" s="21" t="s">
        <v>255</v>
      </c>
      <c r="Y109" s="21"/>
    </row>
    <row r="110" spans="1:25" ht="26.25" customHeight="1" x14ac:dyDescent="0.2">
      <c r="A110" s="18"/>
      <c r="B110" s="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26.25" customHeight="1" x14ac:dyDescent="0.2">
      <c r="A111" s="2" t="s">
        <v>195</v>
      </c>
      <c r="B111" s="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28.5" customHeight="1" x14ac:dyDescent="0.2"/>
    <row r="113" spans="1:25" ht="60" customHeight="1" x14ac:dyDescent="0.2">
      <c r="A113" s="16">
        <v>9</v>
      </c>
      <c r="B113" s="17" t="s">
        <v>2</v>
      </c>
      <c r="C113" s="24" t="str">
        <f>B12</f>
        <v>grupo</v>
      </c>
      <c r="D113" s="24"/>
      <c r="E113" s="24"/>
      <c r="F113" s="24"/>
      <c r="G113" s="25" t="s">
        <v>3</v>
      </c>
      <c r="H113" s="25"/>
      <c r="I113" s="25"/>
      <c r="J113" s="25"/>
      <c r="K113" s="26" t="str">
        <f>F12</f>
        <v>Espacio colaborativo creado para reunir usuarios con intereses académicos, deportivos o de ocio en común.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3" t="s">
        <v>159</v>
      </c>
      <c r="Y113" s="4" t="s">
        <v>160</v>
      </c>
    </row>
    <row r="114" spans="1:25" ht="41.25" customHeight="1" x14ac:dyDescent="0.2">
      <c r="A114" s="3" t="s">
        <v>1</v>
      </c>
      <c r="B114" s="3" t="s">
        <v>161</v>
      </c>
      <c r="C114" s="25" t="s">
        <v>162</v>
      </c>
      <c r="D114" s="25"/>
      <c r="E114" s="25"/>
      <c r="F114" s="25"/>
      <c r="G114" s="25" t="s">
        <v>163</v>
      </c>
      <c r="H114" s="25"/>
      <c r="I114" s="25"/>
      <c r="J114" s="25"/>
      <c r="K114" s="25" t="s">
        <v>164</v>
      </c>
      <c r="L114" s="25"/>
      <c r="M114" s="25"/>
      <c r="N114" s="25"/>
      <c r="O114" s="25" t="s">
        <v>165</v>
      </c>
      <c r="P114" s="25"/>
      <c r="Q114" s="25"/>
      <c r="R114" s="25" t="s">
        <v>166</v>
      </c>
      <c r="S114" s="25"/>
      <c r="T114" s="25" t="s">
        <v>167</v>
      </c>
      <c r="U114" s="25"/>
      <c r="V114" s="25" t="s">
        <v>168</v>
      </c>
      <c r="W114" s="25"/>
      <c r="X114" s="25" t="s">
        <v>169</v>
      </c>
      <c r="Y114" s="25"/>
    </row>
    <row r="115" spans="1:25" ht="26.25" customHeight="1" x14ac:dyDescent="0.2">
      <c r="A115" s="2">
        <v>1</v>
      </c>
      <c r="B115" s="1" t="s">
        <v>256</v>
      </c>
      <c r="C115" s="21" t="s">
        <v>257</v>
      </c>
      <c r="D115" s="21"/>
      <c r="E115" s="21"/>
      <c r="F115" s="21"/>
      <c r="G115" s="23" t="s">
        <v>172</v>
      </c>
      <c r="H115" s="23"/>
      <c r="I115" s="23"/>
      <c r="J115" s="23"/>
      <c r="K115" s="23" t="s">
        <v>173</v>
      </c>
      <c r="L115" s="23"/>
      <c r="M115" s="23"/>
      <c r="N115" s="23"/>
      <c r="O115" s="23" t="s">
        <v>174</v>
      </c>
      <c r="P115" s="23"/>
      <c r="Q115" s="23"/>
      <c r="R115" s="23" t="s">
        <v>175</v>
      </c>
      <c r="S115" s="23"/>
      <c r="T115" s="23"/>
      <c r="U115" s="23"/>
      <c r="V115" s="23"/>
      <c r="W115" s="23"/>
      <c r="X115" s="21"/>
      <c r="Y115" s="21"/>
    </row>
    <row r="116" spans="1:25" ht="39.75" customHeight="1" x14ac:dyDescent="0.2">
      <c r="A116" s="2">
        <v>2</v>
      </c>
      <c r="B116" s="1" t="s">
        <v>258</v>
      </c>
      <c r="C116" s="21" t="s">
        <v>259</v>
      </c>
      <c r="D116" s="21"/>
      <c r="E116" s="21"/>
      <c r="F116" s="21"/>
      <c r="G116" s="23" t="s">
        <v>110</v>
      </c>
      <c r="H116" s="23"/>
      <c r="I116" s="23"/>
      <c r="J116" s="23"/>
      <c r="K116" s="23" t="s">
        <v>173</v>
      </c>
      <c r="L116" s="23"/>
      <c r="M116" s="23"/>
      <c r="N116" s="23"/>
      <c r="O116" s="23" t="s">
        <v>174</v>
      </c>
      <c r="P116" s="23"/>
      <c r="Q116" s="23"/>
      <c r="R116" s="23"/>
      <c r="S116" s="23"/>
      <c r="T116" s="23" t="s">
        <v>175</v>
      </c>
      <c r="U116" s="23"/>
      <c r="V116" s="23"/>
      <c r="W116" s="23"/>
      <c r="X116" s="21" t="s">
        <v>231</v>
      </c>
      <c r="Y116" s="21"/>
    </row>
    <row r="117" spans="1:25" ht="39.75" customHeight="1" x14ac:dyDescent="0.2">
      <c r="A117" s="2">
        <v>3</v>
      </c>
      <c r="B117" s="1" t="s">
        <v>260</v>
      </c>
      <c r="C117" s="21" t="s">
        <v>261</v>
      </c>
      <c r="D117" s="21"/>
      <c r="E117" s="21"/>
      <c r="F117" s="21"/>
      <c r="G117" s="23" t="s">
        <v>184</v>
      </c>
      <c r="H117" s="23"/>
      <c r="I117" s="23"/>
      <c r="J117" s="23"/>
      <c r="K117" s="23" t="s">
        <v>262</v>
      </c>
      <c r="L117" s="23"/>
      <c r="M117" s="23"/>
      <c r="N117" s="23"/>
      <c r="O117" s="23" t="s">
        <v>174</v>
      </c>
      <c r="P117" s="23"/>
      <c r="Q117" s="23"/>
      <c r="R117" s="23"/>
      <c r="S117" s="23"/>
      <c r="T117" s="23"/>
      <c r="U117" s="23"/>
      <c r="V117" s="23"/>
      <c r="W117" s="23"/>
      <c r="X117" s="21"/>
      <c r="Y117" s="21"/>
    </row>
    <row r="118" spans="1:25" ht="26.25" customHeight="1" x14ac:dyDescent="0.2">
      <c r="A118" s="18"/>
      <c r="B118" s="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ht="26.25" customHeight="1" x14ac:dyDescent="0.2">
      <c r="A119" s="2" t="s">
        <v>195</v>
      </c>
      <c r="B119" s="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ht="28.5" customHeight="1" x14ac:dyDescent="0.2"/>
    <row r="121" spans="1:25" ht="60" customHeight="1" x14ac:dyDescent="0.2">
      <c r="A121" s="16">
        <v>10</v>
      </c>
      <c r="B121" s="17" t="s">
        <v>2</v>
      </c>
      <c r="C121" s="24" t="str">
        <f>B13</f>
        <v>tipo_servicio</v>
      </c>
      <c r="D121" s="24"/>
      <c r="E121" s="24"/>
      <c r="F121" s="24"/>
      <c r="G121" s="25" t="s">
        <v>3</v>
      </c>
      <c r="H121" s="25"/>
      <c r="I121" s="25"/>
      <c r="J121" s="25"/>
      <c r="K121" s="26" t="str">
        <f>F13</f>
        <v>Catálogo predefinido que clasifica los servicios ofrecidos (tutorías, reparaciones, asesorías, etc.).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3" t="s">
        <v>159</v>
      </c>
      <c r="Y121" s="4" t="s">
        <v>160</v>
      </c>
    </row>
    <row r="122" spans="1:25" ht="41.25" customHeight="1" x14ac:dyDescent="0.2">
      <c r="A122" s="3" t="s">
        <v>1</v>
      </c>
      <c r="B122" s="3" t="s">
        <v>161</v>
      </c>
      <c r="C122" s="25" t="s">
        <v>162</v>
      </c>
      <c r="D122" s="25"/>
      <c r="E122" s="25"/>
      <c r="F122" s="25"/>
      <c r="G122" s="25" t="s">
        <v>163</v>
      </c>
      <c r="H122" s="25"/>
      <c r="I122" s="25"/>
      <c r="J122" s="25"/>
      <c r="K122" s="25" t="s">
        <v>164</v>
      </c>
      <c r="L122" s="25"/>
      <c r="M122" s="25"/>
      <c r="N122" s="25"/>
      <c r="O122" s="25" t="s">
        <v>165</v>
      </c>
      <c r="P122" s="25"/>
      <c r="Q122" s="25"/>
      <c r="R122" s="25" t="s">
        <v>166</v>
      </c>
      <c r="S122" s="25"/>
      <c r="T122" s="25" t="s">
        <v>167</v>
      </c>
      <c r="U122" s="25"/>
      <c r="V122" s="25" t="s">
        <v>168</v>
      </c>
      <c r="W122" s="25"/>
      <c r="X122" s="25" t="s">
        <v>169</v>
      </c>
      <c r="Y122" s="25"/>
    </row>
    <row r="123" spans="1:25" ht="26.25" customHeight="1" x14ac:dyDescent="0.2">
      <c r="A123" s="2">
        <v>1</v>
      </c>
      <c r="B123" s="1" t="s">
        <v>263</v>
      </c>
      <c r="C123" s="21" t="s">
        <v>264</v>
      </c>
      <c r="D123" s="21"/>
      <c r="E123" s="21"/>
      <c r="F123" s="21"/>
      <c r="G123" s="23" t="s">
        <v>172</v>
      </c>
      <c r="H123" s="23"/>
      <c r="I123" s="23"/>
      <c r="J123" s="23"/>
      <c r="K123" s="23" t="s">
        <v>173</v>
      </c>
      <c r="L123" s="23"/>
      <c r="M123" s="23"/>
      <c r="N123" s="23"/>
      <c r="O123" s="23" t="s">
        <v>174</v>
      </c>
      <c r="P123" s="23"/>
      <c r="Q123" s="23"/>
      <c r="R123" s="23" t="s">
        <v>175</v>
      </c>
      <c r="S123" s="23"/>
      <c r="T123" s="23"/>
      <c r="U123" s="23"/>
      <c r="V123" s="23"/>
      <c r="W123" s="23"/>
      <c r="X123" s="21"/>
      <c r="Y123" s="21"/>
    </row>
    <row r="124" spans="1:25" ht="39.75" customHeight="1" x14ac:dyDescent="0.2">
      <c r="A124" s="2">
        <v>2</v>
      </c>
      <c r="B124" s="1" t="s">
        <v>205</v>
      </c>
      <c r="C124" s="21" t="s">
        <v>265</v>
      </c>
      <c r="D124" s="21"/>
      <c r="E124" s="21"/>
      <c r="F124" s="21"/>
      <c r="G124" s="23" t="s">
        <v>184</v>
      </c>
      <c r="H124" s="23"/>
      <c r="I124" s="23"/>
      <c r="J124" s="23"/>
      <c r="K124" s="23" t="s">
        <v>187</v>
      </c>
      <c r="L124" s="23"/>
      <c r="M124" s="23"/>
      <c r="N124" s="23"/>
      <c r="O124" s="23" t="s">
        <v>174</v>
      </c>
      <c r="P124" s="23"/>
      <c r="Q124" s="23"/>
      <c r="R124" s="23"/>
      <c r="S124" s="23"/>
      <c r="T124" s="23"/>
      <c r="U124" s="23"/>
      <c r="V124" s="23" t="s">
        <v>175</v>
      </c>
      <c r="W124" s="23"/>
      <c r="X124" s="21"/>
      <c r="Y124" s="21"/>
    </row>
    <row r="125" spans="1:25" ht="39.75" customHeight="1" x14ac:dyDescent="0.2">
      <c r="A125" s="2">
        <v>3</v>
      </c>
      <c r="B125" s="1" t="s">
        <v>201</v>
      </c>
      <c r="C125" s="21" t="s">
        <v>266</v>
      </c>
      <c r="D125" s="21"/>
      <c r="E125" s="21"/>
      <c r="F125" s="21"/>
      <c r="G125" s="23" t="s">
        <v>184</v>
      </c>
      <c r="H125" s="23"/>
      <c r="I125" s="23"/>
      <c r="J125" s="23"/>
      <c r="K125" s="23" t="s">
        <v>193</v>
      </c>
      <c r="L125" s="23"/>
      <c r="M125" s="23"/>
      <c r="N125" s="23"/>
      <c r="O125" s="23" t="s">
        <v>203</v>
      </c>
      <c r="P125" s="23"/>
      <c r="Q125" s="23"/>
      <c r="R125" s="23"/>
      <c r="S125" s="23"/>
      <c r="T125" s="23"/>
      <c r="U125" s="23"/>
      <c r="V125" s="23"/>
      <c r="W125" s="23"/>
      <c r="X125" s="21"/>
      <c r="Y125" s="21"/>
    </row>
    <row r="126" spans="1:25" ht="26.25" customHeight="1" x14ac:dyDescent="0.2">
      <c r="A126" s="18"/>
      <c r="B126" s="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ht="26.25" customHeight="1" x14ac:dyDescent="0.2">
      <c r="A127" s="2" t="s">
        <v>195</v>
      </c>
      <c r="B127" s="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ht="28.5" customHeight="1" x14ac:dyDescent="0.2"/>
    <row r="129" spans="1:25" ht="43.5" customHeight="1" x14ac:dyDescent="0.2">
      <c r="A129" s="16">
        <v>11</v>
      </c>
      <c r="B129" s="17" t="s">
        <v>2</v>
      </c>
      <c r="C129" s="24" t="str">
        <f>B14</f>
        <v>servicio</v>
      </c>
      <c r="D129" s="24"/>
      <c r="E129" s="24"/>
      <c r="F129" s="24"/>
      <c r="G129" s="25" t="s">
        <v>3</v>
      </c>
      <c r="H129" s="25"/>
      <c r="I129" s="25"/>
      <c r="J129" s="25"/>
      <c r="K129" s="26" t="str">
        <f>F14</f>
        <v>Oferta concreta que un usuario publica para brindar un servicio a otros, con precio y descripción.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3" t="s">
        <v>159</v>
      </c>
      <c r="Y129" s="4" t="s">
        <v>160</v>
      </c>
    </row>
    <row r="130" spans="1:25" ht="41.25" customHeight="1" x14ac:dyDescent="0.2">
      <c r="A130" s="3" t="s">
        <v>1</v>
      </c>
      <c r="B130" s="3" t="s">
        <v>161</v>
      </c>
      <c r="C130" s="25" t="s">
        <v>162</v>
      </c>
      <c r="D130" s="25"/>
      <c r="E130" s="25"/>
      <c r="F130" s="25"/>
      <c r="G130" s="25" t="s">
        <v>163</v>
      </c>
      <c r="H130" s="25"/>
      <c r="I130" s="25"/>
      <c r="J130" s="25"/>
      <c r="K130" s="25" t="s">
        <v>164</v>
      </c>
      <c r="L130" s="25"/>
      <c r="M130" s="25"/>
      <c r="N130" s="25"/>
      <c r="O130" s="25" t="s">
        <v>165</v>
      </c>
      <c r="P130" s="25"/>
      <c r="Q130" s="25"/>
      <c r="R130" s="25" t="s">
        <v>166</v>
      </c>
      <c r="S130" s="25"/>
      <c r="T130" s="25" t="s">
        <v>167</v>
      </c>
      <c r="U130" s="25"/>
      <c r="V130" s="25" t="s">
        <v>168</v>
      </c>
      <c r="W130" s="25"/>
      <c r="X130" s="25" t="s">
        <v>169</v>
      </c>
      <c r="Y130" s="25"/>
    </row>
    <row r="131" spans="1:25" ht="26.25" customHeight="1" x14ac:dyDescent="0.2">
      <c r="A131" s="2">
        <v>1</v>
      </c>
      <c r="B131" s="1" t="s">
        <v>267</v>
      </c>
      <c r="C131" s="21" t="s">
        <v>268</v>
      </c>
      <c r="D131" s="21"/>
      <c r="E131" s="21"/>
      <c r="F131" s="21"/>
      <c r="G131" s="23" t="s">
        <v>172</v>
      </c>
      <c r="H131" s="23"/>
      <c r="I131" s="23"/>
      <c r="J131" s="23"/>
      <c r="K131" s="23" t="s">
        <v>173</v>
      </c>
      <c r="L131" s="23"/>
      <c r="M131" s="23"/>
      <c r="N131" s="23"/>
      <c r="O131" s="23" t="s">
        <v>174</v>
      </c>
      <c r="P131" s="23"/>
      <c r="Q131" s="23"/>
      <c r="R131" s="23" t="s">
        <v>175</v>
      </c>
      <c r="S131" s="23"/>
      <c r="T131" s="23"/>
      <c r="U131" s="23"/>
      <c r="V131" s="23"/>
      <c r="W131" s="23"/>
      <c r="X131" s="21"/>
      <c r="Y131" s="21"/>
    </row>
    <row r="132" spans="1:25" ht="26.25" customHeight="1" x14ac:dyDescent="0.2">
      <c r="A132" s="2">
        <v>2</v>
      </c>
      <c r="B132" s="1" t="s">
        <v>263</v>
      </c>
      <c r="C132" s="21" t="s">
        <v>269</v>
      </c>
      <c r="D132" s="21"/>
      <c r="E132" s="21"/>
      <c r="F132" s="21"/>
      <c r="G132" s="23" t="s">
        <v>110</v>
      </c>
      <c r="H132" s="23"/>
      <c r="I132" s="23"/>
      <c r="J132" s="23"/>
      <c r="K132" s="23" t="s">
        <v>173</v>
      </c>
      <c r="L132" s="23"/>
      <c r="M132" s="23"/>
      <c r="N132" s="23"/>
      <c r="O132" s="23" t="s">
        <v>174</v>
      </c>
      <c r="P132" s="23"/>
      <c r="Q132" s="23"/>
      <c r="R132" s="23"/>
      <c r="S132" s="23"/>
      <c r="T132" s="23" t="s">
        <v>175</v>
      </c>
      <c r="U132" s="23"/>
      <c r="V132" s="23"/>
      <c r="W132" s="23"/>
      <c r="X132" s="21" t="s">
        <v>270</v>
      </c>
      <c r="Y132" s="21"/>
    </row>
    <row r="133" spans="1:25" ht="39.75" customHeight="1" x14ac:dyDescent="0.2">
      <c r="A133" s="2">
        <v>3</v>
      </c>
      <c r="B133" s="1" t="s">
        <v>170</v>
      </c>
      <c r="C133" s="21" t="s">
        <v>271</v>
      </c>
      <c r="D133" s="21"/>
      <c r="E133" s="21"/>
      <c r="F133" s="21"/>
      <c r="G133" s="23" t="s">
        <v>110</v>
      </c>
      <c r="H133" s="23"/>
      <c r="I133" s="23"/>
      <c r="J133" s="23"/>
      <c r="K133" s="23" t="s">
        <v>173</v>
      </c>
      <c r="L133" s="23"/>
      <c r="M133" s="23"/>
      <c r="N133" s="23"/>
      <c r="O133" s="23" t="s">
        <v>174</v>
      </c>
      <c r="P133" s="23"/>
      <c r="Q133" s="23"/>
      <c r="R133" s="23"/>
      <c r="S133" s="23"/>
      <c r="T133" s="23" t="s">
        <v>175</v>
      </c>
      <c r="U133" s="23"/>
      <c r="V133" s="23"/>
      <c r="W133" s="23"/>
      <c r="X133" s="21" t="s">
        <v>231</v>
      </c>
      <c r="Y133" s="21"/>
    </row>
    <row r="134" spans="1:25" ht="39.75" customHeight="1" x14ac:dyDescent="0.2">
      <c r="A134" s="2">
        <v>4</v>
      </c>
      <c r="B134" s="1" t="s">
        <v>272</v>
      </c>
      <c r="C134" s="21" t="s">
        <v>273</v>
      </c>
      <c r="D134" s="21"/>
      <c r="E134" s="21"/>
      <c r="F134" s="21"/>
      <c r="G134" s="23" t="s">
        <v>274</v>
      </c>
      <c r="H134" s="23"/>
      <c r="I134" s="23"/>
      <c r="J134" s="23"/>
      <c r="K134" s="23" t="s">
        <v>275</v>
      </c>
      <c r="L134" s="23"/>
      <c r="M134" s="23"/>
      <c r="N134" s="23"/>
      <c r="O134" s="23" t="s">
        <v>203</v>
      </c>
      <c r="P134" s="23"/>
      <c r="Q134" s="23"/>
      <c r="R134" s="23"/>
      <c r="S134" s="23"/>
      <c r="T134" s="23"/>
      <c r="U134" s="23"/>
      <c r="V134" s="23"/>
      <c r="W134" s="23"/>
      <c r="X134" s="21"/>
      <c r="Y134" s="21"/>
    </row>
    <row r="135" spans="1:25" ht="26.25" customHeight="1" x14ac:dyDescent="0.2">
      <c r="A135" s="18"/>
      <c r="B135" s="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 ht="26.25" customHeight="1" x14ac:dyDescent="0.2">
      <c r="A136" s="2" t="s">
        <v>195</v>
      </c>
      <c r="B136" s="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 ht="28.5" customHeight="1" x14ac:dyDescent="0.2"/>
    <row r="138" spans="1:25" ht="43.5" customHeight="1" x14ac:dyDescent="0.2">
      <c r="A138" s="16">
        <v>12</v>
      </c>
      <c r="B138" s="17" t="s">
        <v>2</v>
      </c>
      <c r="C138" s="24" t="str">
        <f>B15</f>
        <v>tipo_producto</v>
      </c>
      <c r="D138" s="24"/>
      <c r="E138" s="24"/>
      <c r="F138" s="24"/>
      <c r="G138" s="25" t="s">
        <v>3</v>
      </c>
      <c r="H138" s="25"/>
      <c r="I138" s="25"/>
      <c r="J138" s="25"/>
      <c r="K138" s="26" t="str">
        <f>F15</f>
        <v>Catálogo predefinido que clasifica los productos en venta (libros, tecnología, ropa, etc.).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3" t="s">
        <v>159</v>
      </c>
      <c r="Y138" s="4" t="s">
        <v>160</v>
      </c>
    </row>
    <row r="139" spans="1:25" ht="41.25" customHeight="1" x14ac:dyDescent="0.2">
      <c r="A139" s="3" t="s">
        <v>1</v>
      </c>
      <c r="B139" s="3" t="s">
        <v>161</v>
      </c>
      <c r="C139" s="25" t="s">
        <v>162</v>
      </c>
      <c r="D139" s="25"/>
      <c r="E139" s="25"/>
      <c r="F139" s="25"/>
      <c r="G139" s="25" t="s">
        <v>163</v>
      </c>
      <c r="H139" s="25"/>
      <c r="I139" s="25"/>
      <c r="J139" s="25"/>
      <c r="K139" s="25" t="s">
        <v>164</v>
      </c>
      <c r="L139" s="25"/>
      <c r="M139" s="25"/>
      <c r="N139" s="25"/>
      <c r="O139" s="25" t="s">
        <v>165</v>
      </c>
      <c r="P139" s="25"/>
      <c r="Q139" s="25"/>
      <c r="R139" s="25" t="s">
        <v>166</v>
      </c>
      <c r="S139" s="25"/>
      <c r="T139" s="25" t="s">
        <v>167</v>
      </c>
      <c r="U139" s="25"/>
      <c r="V139" s="25" t="s">
        <v>168</v>
      </c>
      <c r="W139" s="25"/>
      <c r="X139" s="25" t="s">
        <v>169</v>
      </c>
      <c r="Y139" s="25"/>
    </row>
    <row r="140" spans="1:25" ht="26.25" customHeight="1" x14ac:dyDescent="0.2">
      <c r="A140" s="2">
        <v>1</v>
      </c>
      <c r="B140" s="1" t="s">
        <v>276</v>
      </c>
      <c r="C140" s="21" t="s">
        <v>277</v>
      </c>
      <c r="D140" s="21"/>
      <c r="E140" s="21"/>
      <c r="F140" s="21"/>
      <c r="G140" s="23" t="s">
        <v>172</v>
      </c>
      <c r="H140" s="23"/>
      <c r="I140" s="23"/>
      <c r="J140" s="23"/>
      <c r="K140" s="23" t="s">
        <v>173</v>
      </c>
      <c r="L140" s="23"/>
      <c r="M140" s="23"/>
      <c r="N140" s="23"/>
      <c r="O140" s="23" t="s">
        <v>174</v>
      </c>
      <c r="P140" s="23"/>
      <c r="Q140" s="23"/>
      <c r="R140" s="23" t="s">
        <v>175</v>
      </c>
      <c r="S140" s="23"/>
      <c r="T140" s="23"/>
      <c r="U140" s="23"/>
      <c r="V140" s="23"/>
      <c r="W140" s="23"/>
      <c r="X140" s="21"/>
      <c r="Y140" s="21"/>
    </row>
    <row r="141" spans="1:25" ht="39.75" customHeight="1" x14ac:dyDescent="0.2">
      <c r="A141" s="2">
        <v>2</v>
      </c>
      <c r="B141" s="1" t="s">
        <v>205</v>
      </c>
      <c r="C141" s="21" t="s">
        <v>278</v>
      </c>
      <c r="D141" s="21"/>
      <c r="E141" s="21"/>
      <c r="F141" s="21"/>
      <c r="G141" s="23" t="s">
        <v>184</v>
      </c>
      <c r="H141" s="23"/>
      <c r="I141" s="23"/>
      <c r="J141" s="23"/>
      <c r="K141" s="23" t="s">
        <v>187</v>
      </c>
      <c r="L141" s="23"/>
      <c r="M141" s="23"/>
      <c r="N141" s="23"/>
      <c r="O141" s="23" t="s">
        <v>174</v>
      </c>
      <c r="P141" s="23"/>
      <c r="Q141" s="23"/>
      <c r="R141" s="23"/>
      <c r="S141" s="23"/>
      <c r="T141" s="23"/>
      <c r="U141" s="23"/>
      <c r="V141" s="23" t="s">
        <v>175</v>
      </c>
      <c r="W141" s="23"/>
      <c r="X141" s="21"/>
      <c r="Y141" s="21"/>
    </row>
    <row r="142" spans="1:25" ht="39.75" customHeight="1" x14ac:dyDescent="0.2">
      <c r="A142" s="2">
        <v>3</v>
      </c>
      <c r="B142" s="1" t="s">
        <v>201</v>
      </c>
      <c r="C142" s="21" t="s">
        <v>279</v>
      </c>
      <c r="D142" s="21"/>
      <c r="E142" s="21"/>
      <c r="F142" s="21"/>
      <c r="G142" s="23" t="s">
        <v>184</v>
      </c>
      <c r="H142" s="23"/>
      <c r="I142" s="23"/>
      <c r="J142" s="23"/>
      <c r="K142" s="23" t="s">
        <v>193</v>
      </c>
      <c r="L142" s="23"/>
      <c r="M142" s="23"/>
      <c r="N142" s="23"/>
      <c r="O142" s="23" t="s">
        <v>203</v>
      </c>
      <c r="P142" s="23"/>
      <c r="Q142" s="23"/>
      <c r="R142" s="23"/>
      <c r="S142" s="23"/>
      <c r="T142" s="23"/>
      <c r="U142" s="23"/>
      <c r="V142" s="23"/>
      <c r="W142" s="23"/>
      <c r="X142" s="21"/>
      <c r="Y142" s="21"/>
    </row>
    <row r="143" spans="1:25" ht="26.25" customHeight="1" x14ac:dyDescent="0.2">
      <c r="A143" s="18"/>
      <c r="B143" s="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 ht="26.25" customHeight="1" x14ac:dyDescent="0.2">
      <c r="A144" s="2" t="s">
        <v>195</v>
      </c>
      <c r="B144" s="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 ht="28.5" customHeight="1" x14ac:dyDescent="0.2"/>
    <row r="146" spans="1:25" ht="43.5" customHeight="1" x14ac:dyDescent="0.2">
      <c r="A146" s="16">
        <v>13</v>
      </c>
      <c r="B146" s="17" t="s">
        <v>2</v>
      </c>
      <c r="C146" s="24" t="str">
        <f>B16</f>
        <v>producto</v>
      </c>
      <c r="D146" s="24"/>
      <c r="E146" s="24"/>
      <c r="F146" s="24"/>
      <c r="G146" s="25" t="s">
        <v>3</v>
      </c>
      <c r="H146" s="25"/>
      <c r="I146" s="25"/>
      <c r="J146" s="25"/>
      <c r="K146" s="26" t="str">
        <f>F16</f>
        <v>Artículo físico o digital que un usuario publica para vender o adquirir dentro de la plataforma.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3" t="s">
        <v>159</v>
      </c>
      <c r="Y146" s="4" t="s">
        <v>160</v>
      </c>
    </row>
    <row r="147" spans="1:25" ht="41.25" customHeight="1" x14ac:dyDescent="0.2">
      <c r="A147" s="3" t="s">
        <v>1</v>
      </c>
      <c r="B147" s="3" t="s">
        <v>161</v>
      </c>
      <c r="C147" s="25" t="s">
        <v>162</v>
      </c>
      <c r="D147" s="25"/>
      <c r="E147" s="25"/>
      <c r="F147" s="25"/>
      <c r="G147" s="25" t="s">
        <v>163</v>
      </c>
      <c r="H147" s="25"/>
      <c r="I147" s="25"/>
      <c r="J147" s="25"/>
      <c r="K147" s="25" t="s">
        <v>164</v>
      </c>
      <c r="L147" s="25"/>
      <c r="M147" s="25"/>
      <c r="N147" s="25"/>
      <c r="O147" s="25" t="s">
        <v>165</v>
      </c>
      <c r="P147" s="25"/>
      <c r="Q147" s="25"/>
      <c r="R147" s="25" t="s">
        <v>166</v>
      </c>
      <c r="S147" s="25"/>
      <c r="T147" s="25" t="s">
        <v>167</v>
      </c>
      <c r="U147" s="25"/>
      <c r="V147" s="25" t="s">
        <v>168</v>
      </c>
      <c r="W147" s="25"/>
      <c r="X147" s="25" t="s">
        <v>169</v>
      </c>
      <c r="Y147" s="25"/>
    </row>
    <row r="148" spans="1:25" ht="39.75" customHeight="1" x14ac:dyDescent="0.2">
      <c r="A148" s="2">
        <v>1</v>
      </c>
      <c r="B148" s="1" t="s">
        <v>280</v>
      </c>
      <c r="C148" s="21" t="s">
        <v>281</v>
      </c>
      <c r="D148" s="21"/>
      <c r="E148" s="21"/>
      <c r="F148" s="21"/>
      <c r="G148" s="23" t="s">
        <v>172</v>
      </c>
      <c r="H148" s="23"/>
      <c r="I148" s="23"/>
      <c r="J148" s="23"/>
      <c r="K148" s="23" t="s">
        <v>173</v>
      </c>
      <c r="L148" s="23"/>
      <c r="M148" s="23"/>
      <c r="N148" s="23"/>
      <c r="O148" s="23" t="s">
        <v>174</v>
      </c>
      <c r="P148" s="23"/>
      <c r="Q148" s="23"/>
      <c r="R148" s="23" t="s">
        <v>175</v>
      </c>
      <c r="S148" s="23"/>
      <c r="T148" s="23"/>
      <c r="U148" s="23"/>
      <c r="V148" s="23"/>
      <c r="W148" s="23"/>
      <c r="X148" s="21"/>
      <c r="Y148" s="21"/>
    </row>
    <row r="149" spans="1:25" ht="26.25" customHeight="1" x14ac:dyDescent="0.2">
      <c r="A149" s="2">
        <v>2</v>
      </c>
      <c r="B149" s="1" t="s">
        <v>276</v>
      </c>
      <c r="C149" s="21" t="s">
        <v>282</v>
      </c>
      <c r="D149" s="21"/>
      <c r="E149" s="21"/>
      <c r="F149" s="21"/>
      <c r="G149" s="23" t="s">
        <v>110</v>
      </c>
      <c r="H149" s="23"/>
      <c r="I149" s="23"/>
      <c r="J149" s="23"/>
      <c r="K149" s="23" t="s">
        <v>173</v>
      </c>
      <c r="L149" s="23"/>
      <c r="M149" s="23"/>
      <c r="N149" s="23"/>
      <c r="O149" s="23" t="s">
        <v>174</v>
      </c>
      <c r="P149" s="23"/>
      <c r="Q149" s="23"/>
      <c r="R149" s="23"/>
      <c r="S149" s="23"/>
      <c r="T149" s="23" t="s">
        <v>175</v>
      </c>
      <c r="U149" s="23"/>
      <c r="V149" s="23"/>
      <c r="W149" s="23"/>
      <c r="X149" s="21" t="s">
        <v>283</v>
      </c>
      <c r="Y149" s="21"/>
    </row>
    <row r="150" spans="1:25" ht="39.75" customHeight="1" x14ac:dyDescent="0.2">
      <c r="A150" s="2">
        <v>3</v>
      </c>
      <c r="B150" s="1" t="s">
        <v>170</v>
      </c>
      <c r="C150" s="21" t="s">
        <v>284</v>
      </c>
      <c r="D150" s="21"/>
      <c r="E150" s="21"/>
      <c r="F150" s="21"/>
      <c r="G150" s="23" t="s">
        <v>110</v>
      </c>
      <c r="H150" s="23"/>
      <c r="I150" s="23"/>
      <c r="J150" s="23"/>
      <c r="K150" s="23" t="s">
        <v>173</v>
      </c>
      <c r="L150" s="23"/>
      <c r="M150" s="23"/>
      <c r="N150" s="23"/>
      <c r="O150" s="23" t="s">
        <v>174</v>
      </c>
      <c r="P150" s="23"/>
      <c r="Q150" s="23"/>
      <c r="R150" s="23"/>
      <c r="S150" s="23"/>
      <c r="T150" s="23" t="s">
        <v>175</v>
      </c>
      <c r="U150" s="23"/>
      <c r="V150" s="23"/>
      <c r="W150" s="23"/>
      <c r="X150" s="21" t="s">
        <v>231</v>
      </c>
      <c r="Y150" s="21"/>
    </row>
    <row r="151" spans="1:25" ht="26.25" customHeight="1" x14ac:dyDescent="0.2">
      <c r="A151" s="2">
        <v>4</v>
      </c>
      <c r="B151" s="1" t="s">
        <v>272</v>
      </c>
      <c r="C151" s="21" t="s">
        <v>285</v>
      </c>
      <c r="D151" s="21"/>
      <c r="E151" s="21"/>
      <c r="F151" s="21"/>
      <c r="G151" s="23" t="s">
        <v>274</v>
      </c>
      <c r="H151" s="23"/>
      <c r="I151" s="23"/>
      <c r="J151" s="23"/>
      <c r="K151" s="23" t="s">
        <v>275</v>
      </c>
      <c r="L151" s="23"/>
      <c r="M151" s="23"/>
      <c r="N151" s="23"/>
      <c r="O151" s="23" t="s">
        <v>203</v>
      </c>
      <c r="P151" s="23"/>
      <c r="Q151" s="23"/>
      <c r="R151" s="23"/>
      <c r="S151" s="23"/>
      <c r="T151" s="23"/>
      <c r="U151" s="23"/>
      <c r="V151" s="23"/>
      <c r="W151" s="23"/>
      <c r="X151" s="21"/>
      <c r="Y151" s="21"/>
    </row>
    <row r="152" spans="1:25" ht="26.25" customHeight="1" x14ac:dyDescent="0.2">
      <c r="A152" s="18"/>
      <c r="B152" s="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 ht="26.25" customHeight="1" x14ac:dyDescent="0.2">
      <c r="A153" s="2" t="s">
        <v>195</v>
      </c>
      <c r="B153" s="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 ht="28.5" customHeight="1" x14ac:dyDescent="0.2"/>
    <row r="155" spans="1:25" ht="36.75" customHeight="1" x14ac:dyDescent="0.2">
      <c r="A155" s="16">
        <v>14</v>
      </c>
      <c r="B155" s="17" t="s">
        <v>2</v>
      </c>
      <c r="C155" s="24" t="str">
        <f>B17</f>
        <v>tipo_evento</v>
      </c>
      <c r="D155" s="24"/>
      <c r="E155" s="24"/>
      <c r="F155" s="24"/>
      <c r="G155" s="25" t="s">
        <v>3</v>
      </c>
      <c r="H155" s="25"/>
      <c r="I155" s="25"/>
      <c r="J155" s="25"/>
      <c r="K155" s="26" t="str">
        <f>F17</f>
        <v>Catálogo predefinido que clasifica los eventos.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3" t="s">
        <v>159</v>
      </c>
      <c r="Y155" s="4" t="s">
        <v>160</v>
      </c>
    </row>
    <row r="156" spans="1:25" ht="41.25" customHeight="1" x14ac:dyDescent="0.2">
      <c r="A156" s="3" t="s">
        <v>1</v>
      </c>
      <c r="B156" s="3" t="s">
        <v>161</v>
      </c>
      <c r="C156" s="25" t="s">
        <v>162</v>
      </c>
      <c r="D156" s="25"/>
      <c r="E156" s="25"/>
      <c r="F156" s="25"/>
      <c r="G156" s="25" t="s">
        <v>163</v>
      </c>
      <c r="H156" s="25"/>
      <c r="I156" s="25"/>
      <c r="J156" s="25"/>
      <c r="K156" s="25" t="s">
        <v>164</v>
      </c>
      <c r="L156" s="25"/>
      <c r="M156" s="25"/>
      <c r="N156" s="25"/>
      <c r="O156" s="25" t="s">
        <v>165</v>
      </c>
      <c r="P156" s="25"/>
      <c r="Q156" s="25"/>
      <c r="R156" s="25" t="s">
        <v>166</v>
      </c>
      <c r="S156" s="25"/>
      <c r="T156" s="25" t="s">
        <v>167</v>
      </c>
      <c r="U156" s="25"/>
      <c r="V156" s="25" t="s">
        <v>168</v>
      </c>
      <c r="W156" s="25"/>
      <c r="X156" s="25" t="s">
        <v>169</v>
      </c>
      <c r="Y156" s="25"/>
    </row>
    <row r="157" spans="1:25" ht="39.75" customHeight="1" x14ac:dyDescent="0.2">
      <c r="A157" s="2">
        <v>1</v>
      </c>
      <c r="B157" s="1" t="s">
        <v>286</v>
      </c>
      <c r="C157" s="21" t="s">
        <v>287</v>
      </c>
      <c r="D157" s="21"/>
      <c r="E157" s="21"/>
      <c r="F157" s="21"/>
      <c r="G157" s="23" t="s">
        <v>172</v>
      </c>
      <c r="H157" s="23"/>
      <c r="I157" s="23"/>
      <c r="J157" s="23"/>
      <c r="K157" s="23" t="s">
        <v>173</v>
      </c>
      <c r="L157" s="23"/>
      <c r="M157" s="23"/>
      <c r="N157" s="23"/>
      <c r="O157" s="23" t="s">
        <v>174</v>
      </c>
      <c r="P157" s="23"/>
      <c r="Q157" s="23"/>
      <c r="R157" s="23" t="s">
        <v>175</v>
      </c>
      <c r="S157" s="23"/>
      <c r="T157" s="23"/>
      <c r="U157" s="23"/>
      <c r="V157" s="23"/>
      <c r="W157" s="23"/>
      <c r="X157" s="21"/>
      <c r="Y157" s="21"/>
    </row>
    <row r="158" spans="1:25" ht="39.75" customHeight="1" x14ac:dyDescent="0.2">
      <c r="A158" s="2">
        <v>2</v>
      </c>
      <c r="B158" s="1" t="s">
        <v>205</v>
      </c>
      <c r="C158" s="21" t="s">
        <v>288</v>
      </c>
      <c r="D158" s="21"/>
      <c r="E158" s="21"/>
      <c r="F158" s="21"/>
      <c r="G158" s="23" t="s">
        <v>184</v>
      </c>
      <c r="H158" s="23"/>
      <c r="I158" s="23"/>
      <c r="J158" s="23"/>
      <c r="K158" s="23" t="s">
        <v>187</v>
      </c>
      <c r="L158" s="23"/>
      <c r="M158" s="23"/>
      <c r="N158" s="23"/>
      <c r="O158" s="23" t="s">
        <v>174</v>
      </c>
      <c r="P158" s="23"/>
      <c r="Q158" s="23"/>
      <c r="R158" s="23"/>
      <c r="S158" s="23"/>
      <c r="T158" s="23"/>
      <c r="U158" s="23"/>
      <c r="V158" s="23" t="s">
        <v>175</v>
      </c>
      <c r="W158" s="23"/>
      <c r="X158" s="21"/>
      <c r="Y158" s="21"/>
    </row>
    <row r="159" spans="1:25" ht="39.75" customHeight="1" x14ac:dyDescent="0.2">
      <c r="A159" s="2">
        <v>3</v>
      </c>
      <c r="B159" s="1" t="s">
        <v>201</v>
      </c>
      <c r="C159" s="21" t="s">
        <v>289</v>
      </c>
      <c r="D159" s="21"/>
      <c r="E159" s="21"/>
      <c r="F159" s="21"/>
      <c r="G159" s="23" t="s">
        <v>184</v>
      </c>
      <c r="H159" s="23"/>
      <c r="I159" s="23"/>
      <c r="J159" s="23"/>
      <c r="K159" s="23" t="s">
        <v>193</v>
      </c>
      <c r="L159" s="23"/>
      <c r="M159" s="23"/>
      <c r="N159" s="23"/>
      <c r="O159" s="23" t="s">
        <v>203</v>
      </c>
      <c r="P159" s="23"/>
      <c r="Q159" s="23"/>
      <c r="R159" s="23"/>
      <c r="S159" s="23"/>
      <c r="T159" s="23"/>
      <c r="U159" s="23"/>
      <c r="V159" s="23"/>
      <c r="W159" s="23"/>
      <c r="X159" s="21"/>
      <c r="Y159" s="21"/>
    </row>
    <row r="160" spans="1:25" ht="26.25" customHeight="1" x14ac:dyDescent="0.2">
      <c r="A160" s="18"/>
      <c r="B160" s="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 ht="26.25" customHeight="1" x14ac:dyDescent="0.2">
      <c r="A161" s="2" t="s">
        <v>195</v>
      </c>
      <c r="B161" s="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 ht="28.5" customHeight="1" x14ac:dyDescent="0.2"/>
    <row r="163" spans="1:25" ht="60" customHeight="1" x14ac:dyDescent="0.2">
      <c r="A163" s="16">
        <v>15</v>
      </c>
      <c r="B163" s="17" t="s">
        <v>2</v>
      </c>
      <c r="C163" s="24" t="str">
        <f>B18</f>
        <v>evento</v>
      </c>
      <c r="D163" s="24"/>
      <c r="E163" s="24"/>
      <c r="F163" s="24"/>
      <c r="G163" s="25" t="s">
        <v>3</v>
      </c>
      <c r="H163" s="25"/>
      <c r="I163" s="25"/>
      <c r="J163" s="25"/>
      <c r="K163" s="26" t="str">
        <f>F18</f>
        <v>Actividad programada con fecha, hora y lugar, organizada por un usuario y con participación de otros.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3" t="s">
        <v>159</v>
      </c>
      <c r="Y163" s="4" t="s">
        <v>160</v>
      </c>
    </row>
    <row r="164" spans="1:25" ht="41.25" customHeight="1" x14ac:dyDescent="0.2">
      <c r="A164" s="3" t="s">
        <v>1</v>
      </c>
      <c r="B164" s="3" t="s">
        <v>161</v>
      </c>
      <c r="C164" s="25" t="s">
        <v>162</v>
      </c>
      <c r="D164" s="25"/>
      <c r="E164" s="25"/>
      <c r="F164" s="25"/>
      <c r="G164" s="25" t="s">
        <v>163</v>
      </c>
      <c r="H164" s="25"/>
      <c r="I164" s="25"/>
      <c r="J164" s="25"/>
      <c r="K164" s="25" t="s">
        <v>164</v>
      </c>
      <c r="L164" s="25"/>
      <c r="M164" s="25"/>
      <c r="N164" s="25"/>
      <c r="O164" s="25" t="s">
        <v>165</v>
      </c>
      <c r="P164" s="25"/>
      <c r="Q164" s="25"/>
      <c r="R164" s="25" t="s">
        <v>166</v>
      </c>
      <c r="S164" s="25"/>
      <c r="T164" s="25" t="s">
        <v>167</v>
      </c>
      <c r="U164" s="25"/>
      <c r="V164" s="25" t="s">
        <v>168</v>
      </c>
      <c r="W164" s="25"/>
      <c r="X164" s="25" t="s">
        <v>169</v>
      </c>
      <c r="Y164" s="25"/>
    </row>
    <row r="165" spans="1:25" ht="26.25" customHeight="1" x14ac:dyDescent="0.2">
      <c r="A165" s="2">
        <v>1</v>
      </c>
      <c r="B165" s="1" t="s">
        <v>290</v>
      </c>
      <c r="C165" s="21" t="s">
        <v>291</v>
      </c>
      <c r="D165" s="21"/>
      <c r="E165" s="21"/>
      <c r="F165" s="21"/>
      <c r="G165" s="23" t="s">
        <v>172</v>
      </c>
      <c r="H165" s="23"/>
      <c r="I165" s="23"/>
      <c r="J165" s="23"/>
      <c r="K165" s="23" t="s">
        <v>173</v>
      </c>
      <c r="L165" s="23"/>
      <c r="M165" s="23"/>
      <c r="N165" s="23"/>
      <c r="O165" s="23" t="s">
        <v>174</v>
      </c>
      <c r="P165" s="23"/>
      <c r="Q165" s="23"/>
      <c r="R165" s="23" t="s">
        <v>175</v>
      </c>
      <c r="S165" s="23"/>
      <c r="T165" s="23"/>
      <c r="U165" s="23"/>
      <c r="V165" s="23"/>
      <c r="W165" s="23"/>
      <c r="X165" s="21"/>
      <c r="Y165" s="21"/>
    </row>
    <row r="166" spans="1:25" ht="39.75" customHeight="1" x14ac:dyDescent="0.2">
      <c r="A166" s="2">
        <v>2</v>
      </c>
      <c r="B166" s="1" t="s">
        <v>286</v>
      </c>
      <c r="C166" s="21" t="s">
        <v>292</v>
      </c>
      <c r="D166" s="21"/>
      <c r="E166" s="21"/>
      <c r="F166" s="21"/>
      <c r="G166" s="23" t="s">
        <v>110</v>
      </c>
      <c r="H166" s="23"/>
      <c r="I166" s="23"/>
      <c r="J166" s="23"/>
      <c r="K166" s="23" t="s">
        <v>173</v>
      </c>
      <c r="L166" s="23"/>
      <c r="M166" s="23"/>
      <c r="N166" s="23"/>
      <c r="O166" s="23" t="s">
        <v>174</v>
      </c>
      <c r="P166" s="23"/>
      <c r="Q166" s="23"/>
      <c r="R166" s="23"/>
      <c r="S166" s="23"/>
      <c r="T166" s="23" t="s">
        <v>175</v>
      </c>
      <c r="U166" s="23"/>
      <c r="V166" s="23"/>
      <c r="W166" s="23"/>
      <c r="X166" s="21" t="s">
        <v>293</v>
      </c>
      <c r="Y166" s="21"/>
    </row>
    <row r="167" spans="1:25" ht="39.75" customHeight="1" x14ac:dyDescent="0.2">
      <c r="A167" s="2">
        <v>3</v>
      </c>
      <c r="B167" s="1" t="s">
        <v>294</v>
      </c>
      <c r="C167" s="21" t="s">
        <v>295</v>
      </c>
      <c r="D167" s="21"/>
      <c r="E167" s="21"/>
      <c r="F167" s="21"/>
      <c r="G167" s="23" t="s">
        <v>110</v>
      </c>
      <c r="H167" s="23"/>
      <c r="I167" s="23"/>
      <c r="J167" s="23"/>
      <c r="K167" s="23" t="s">
        <v>173</v>
      </c>
      <c r="L167" s="23"/>
      <c r="M167" s="23"/>
      <c r="N167" s="23"/>
      <c r="O167" s="23" t="s">
        <v>174</v>
      </c>
      <c r="P167" s="23"/>
      <c r="Q167" s="23"/>
      <c r="R167" s="23"/>
      <c r="S167" s="23"/>
      <c r="T167" s="23" t="s">
        <v>175</v>
      </c>
      <c r="U167" s="23"/>
      <c r="V167" s="23"/>
      <c r="W167" s="23"/>
      <c r="X167" s="21" t="s">
        <v>231</v>
      </c>
      <c r="Y167" s="21"/>
    </row>
    <row r="168" spans="1:25" ht="39.75" customHeight="1" x14ac:dyDescent="0.2">
      <c r="A168" s="2">
        <v>4</v>
      </c>
      <c r="B168" s="1" t="s">
        <v>296</v>
      </c>
      <c r="C168" s="21" t="s">
        <v>297</v>
      </c>
      <c r="D168" s="21"/>
      <c r="E168" s="21"/>
      <c r="F168" s="21"/>
      <c r="G168" s="23" t="s">
        <v>129</v>
      </c>
      <c r="H168" s="23"/>
      <c r="I168" s="23"/>
      <c r="J168" s="23"/>
      <c r="K168" s="23"/>
      <c r="L168" s="23"/>
      <c r="M168" s="23"/>
      <c r="N168" s="23"/>
      <c r="O168" s="23" t="s">
        <v>174</v>
      </c>
      <c r="P168" s="23"/>
      <c r="Q168" s="23"/>
      <c r="R168" s="23"/>
      <c r="S168" s="23"/>
      <c r="T168" s="23"/>
      <c r="U168" s="23"/>
      <c r="V168" s="23"/>
      <c r="W168" s="23"/>
      <c r="X168" s="21"/>
      <c r="Y168" s="21"/>
    </row>
    <row r="169" spans="1:25" ht="39.75" customHeight="1" x14ac:dyDescent="0.2">
      <c r="A169" s="2">
        <v>5</v>
      </c>
      <c r="B169" s="1" t="s">
        <v>298</v>
      </c>
      <c r="C169" s="21" t="s">
        <v>299</v>
      </c>
      <c r="D169" s="21"/>
      <c r="E169" s="21"/>
      <c r="F169" s="21"/>
      <c r="G169" s="23" t="s">
        <v>300</v>
      </c>
      <c r="H169" s="23"/>
      <c r="I169" s="23"/>
      <c r="J169" s="23"/>
      <c r="K169" s="23"/>
      <c r="L169" s="23"/>
      <c r="M169" s="23"/>
      <c r="N169" s="23"/>
      <c r="O169" s="23" t="s">
        <v>174</v>
      </c>
      <c r="P169" s="23"/>
      <c r="Q169" s="23"/>
      <c r="R169" s="23"/>
      <c r="S169" s="23"/>
      <c r="T169" s="23"/>
      <c r="U169" s="23"/>
      <c r="V169" s="23"/>
      <c r="W169" s="23"/>
      <c r="X169" s="21"/>
      <c r="Y169" s="21"/>
    </row>
    <row r="170" spans="1:25" ht="39.75" customHeight="1" x14ac:dyDescent="0.2">
      <c r="A170" s="2">
        <v>6</v>
      </c>
      <c r="B170" s="1" t="s">
        <v>301</v>
      </c>
      <c r="C170" s="21" t="s">
        <v>302</v>
      </c>
      <c r="D170" s="21"/>
      <c r="E170" s="21"/>
      <c r="F170" s="21"/>
      <c r="G170" s="23" t="s">
        <v>184</v>
      </c>
      <c r="H170" s="23"/>
      <c r="I170" s="23"/>
      <c r="J170" s="23"/>
      <c r="K170" s="23" t="s">
        <v>190</v>
      </c>
      <c r="L170" s="23"/>
      <c r="M170" s="23"/>
      <c r="N170" s="23"/>
      <c r="O170" s="23" t="s">
        <v>203</v>
      </c>
      <c r="P170" s="23"/>
      <c r="Q170" s="23"/>
      <c r="R170" s="23"/>
      <c r="S170" s="23"/>
      <c r="T170" s="23"/>
      <c r="U170" s="23"/>
      <c r="V170" s="23"/>
      <c r="W170" s="23"/>
      <c r="X170" s="21"/>
      <c r="Y170" s="21"/>
    </row>
    <row r="171" spans="1:25" ht="26.25" customHeight="1" x14ac:dyDescent="0.2">
      <c r="A171" s="18"/>
      <c r="B171" s="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26.25" customHeight="1" x14ac:dyDescent="0.2">
      <c r="A172" s="2" t="s">
        <v>195</v>
      </c>
      <c r="B172" s="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 ht="28.5" customHeight="1" x14ac:dyDescent="0.2"/>
    <row r="174" spans="1:25" ht="60" customHeight="1" x14ac:dyDescent="0.2">
      <c r="A174" s="16">
        <v>16</v>
      </c>
      <c r="B174" s="17" t="s">
        <v>2</v>
      </c>
      <c r="C174" s="24" t="str">
        <f>B19</f>
        <v>etiqueta</v>
      </c>
      <c r="D174" s="24"/>
      <c r="E174" s="24"/>
      <c r="F174" s="24"/>
      <c r="G174" s="25" t="s">
        <v>3</v>
      </c>
      <c r="H174" s="25"/>
      <c r="I174" s="25"/>
      <c r="J174" s="25"/>
      <c r="K174" s="26" t="str">
        <f>F19</f>
        <v>Etiqueta temática que clasifica las publicaciones (académico, deportes, noticias) para facilitar filtros.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3" t="s">
        <v>159</v>
      </c>
      <c r="Y174" s="4" t="s">
        <v>160</v>
      </c>
    </row>
    <row r="175" spans="1:25" ht="41.25" customHeight="1" x14ac:dyDescent="0.2">
      <c r="A175" s="3" t="s">
        <v>1</v>
      </c>
      <c r="B175" s="3" t="s">
        <v>161</v>
      </c>
      <c r="C175" s="25" t="s">
        <v>162</v>
      </c>
      <c r="D175" s="25"/>
      <c r="E175" s="25"/>
      <c r="F175" s="25"/>
      <c r="G175" s="25" t="s">
        <v>163</v>
      </c>
      <c r="H175" s="25"/>
      <c r="I175" s="25"/>
      <c r="J175" s="25"/>
      <c r="K175" s="25" t="s">
        <v>164</v>
      </c>
      <c r="L175" s="25"/>
      <c r="M175" s="25"/>
      <c r="N175" s="25"/>
      <c r="O175" s="25" t="s">
        <v>165</v>
      </c>
      <c r="P175" s="25"/>
      <c r="Q175" s="25"/>
      <c r="R175" s="25" t="s">
        <v>166</v>
      </c>
      <c r="S175" s="25"/>
      <c r="T175" s="25" t="s">
        <v>167</v>
      </c>
      <c r="U175" s="25"/>
      <c r="V175" s="25" t="s">
        <v>168</v>
      </c>
      <c r="W175" s="25"/>
      <c r="X175" s="25" t="s">
        <v>169</v>
      </c>
      <c r="Y175" s="25"/>
    </row>
    <row r="176" spans="1:25" ht="26.25" customHeight="1" x14ac:dyDescent="0.2">
      <c r="A176" s="2">
        <v>1</v>
      </c>
      <c r="B176" s="1" t="s">
        <v>303</v>
      </c>
      <c r="C176" s="21" t="s">
        <v>304</v>
      </c>
      <c r="D176" s="21"/>
      <c r="E176" s="21"/>
      <c r="F176" s="21"/>
      <c r="G176" s="23" t="s">
        <v>172</v>
      </c>
      <c r="H176" s="23"/>
      <c r="I176" s="23"/>
      <c r="J176" s="23"/>
      <c r="K176" s="23" t="s">
        <v>173</v>
      </c>
      <c r="L176" s="23"/>
      <c r="M176" s="23"/>
      <c r="N176" s="23"/>
      <c r="O176" s="23" t="s">
        <v>174</v>
      </c>
      <c r="P176" s="23"/>
      <c r="Q176" s="23"/>
      <c r="R176" s="23" t="s">
        <v>175</v>
      </c>
      <c r="S176" s="23"/>
      <c r="T176" s="23"/>
      <c r="U176" s="23"/>
      <c r="V176" s="23"/>
      <c r="W176" s="23"/>
      <c r="X176" s="21"/>
      <c r="Y176" s="21"/>
    </row>
    <row r="177" spans="1:25" ht="39.75" customHeight="1" x14ac:dyDescent="0.2">
      <c r="A177" s="2">
        <v>2</v>
      </c>
      <c r="B177" s="1" t="s">
        <v>305</v>
      </c>
      <c r="C177" s="21" t="s">
        <v>306</v>
      </c>
      <c r="D177" s="21"/>
      <c r="E177" s="21"/>
      <c r="F177" s="21"/>
      <c r="G177" s="23" t="s">
        <v>184</v>
      </c>
      <c r="H177" s="23"/>
      <c r="I177" s="23"/>
      <c r="J177" s="23"/>
      <c r="K177" s="23" t="s">
        <v>187</v>
      </c>
      <c r="L177" s="23"/>
      <c r="M177" s="23"/>
      <c r="N177" s="23"/>
      <c r="O177" s="23" t="s">
        <v>174</v>
      </c>
      <c r="P177" s="23"/>
      <c r="Q177" s="23"/>
      <c r="R177" s="23"/>
      <c r="S177" s="23"/>
      <c r="T177" s="23"/>
      <c r="U177" s="23"/>
      <c r="V177" s="23" t="s">
        <v>175</v>
      </c>
      <c r="W177" s="23"/>
      <c r="X177" s="21"/>
      <c r="Y177" s="21"/>
    </row>
    <row r="178" spans="1:25" ht="26.25" customHeight="1" x14ac:dyDescent="0.2">
      <c r="A178" s="18"/>
      <c r="B178" s="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ht="26.25" customHeight="1" x14ac:dyDescent="0.2">
      <c r="A179" s="2" t="s">
        <v>195</v>
      </c>
      <c r="B179" s="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ht="28.5" customHeight="1" x14ac:dyDescent="0.2"/>
    <row r="181" spans="1:25" ht="43.5" customHeight="1" x14ac:dyDescent="0.2">
      <c r="A181" s="16">
        <v>17</v>
      </c>
      <c r="B181" s="17" t="s">
        <v>2</v>
      </c>
      <c r="C181" s="24" t="str">
        <f>B20</f>
        <v>chat</v>
      </c>
      <c r="D181" s="24"/>
      <c r="E181" s="24"/>
      <c r="F181" s="24"/>
      <c r="G181" s="25" t="s">
        <v>3</v>
      </c>
      <c r="H181" s="25"/>
      <c r="I181" s="25"/>
      <c r="J181" s="25"/>
      <c r="K181" s="26" t="str">
        <f>F20</f>
        <v>Espacio de conversación en el que participan dos o más usuarios para intercambiar mensajes.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3" t="s">
        <v>159</v>
      </c>
      <c r="Y181" s="4" t="s">
        <v>160</v>
      </c>
    </row>
    <row r="182" spans="1:25" ht="41.25" customHeight="1" x14ac:dyDescent="0.2">
      <c r="A182" s="3" t="s">
        <v>1</v>
      </c>
      <c r="B182" s="3" t="s">
        <v>161</v>
      </c>
      <c r="C182" s="25" t="s">
        <v>162</v>
      </c>
      <c r="D182" s="25"/>
      <c r="E182" s="25"/>
      <c r="F182" s="25"/>
      <c r="G182" s="25" t="s">
        <v>163</v>
      </c>
      <c r="H182" s="25"/>
      <c r="I182" s="25"/>
      <c r="J182" s="25"/>
      <c r="K182" s="25" t="s">
        <v>164</v>
      </c>
      <c r="L182" s="25"/>
      <c r="M182" s="25"/>
      <c r="N182" s="25"/>
      <c r="O182" s="25" t="s">
        <v>165</v>
      </c>
      <c r="P182" s="25"/>
      <c r="Q182" s="25"/>
      <c r="R182" s="25" t="s">
        <v>166</v>
      </c>
      <c r="S182" s="25"/>
      <c r="T182" s="25" t="s">
        <v>167</v>
      </c>
      <c r="U182" s="25"/>
      <c r="V182" s="25" t="s">
        <v>168</v>
      </c>
      <c r="W182" s="25"/>
      <c r="X182" s="25" t="s">
        <v>169</v>
      </c>
      <c r="Y182" s="25"/>
    </row>
    <row r="183" spans="1:25" ht="26.25" customHeight="1" x14ac:dyDescent="0.2">
      <c r="A183" s="2">
        <v>1</v>
      </c>
      <c r="B183" s="1" t="s">
        <v>307</v>
      </c>
      <c r="C183" s="21" t="s">
        <v>308</v>
      </c>
      <c r="D183" s="21"/>
      <c r="E183" s="21"/>
      <c r="F183" s="21"/>
      <c r="G183" s="23" t="s">
        <v>172</v>
      </c>
      <c r="H183" s="23"/>
      <c r="I183" s="23"/>
      <c r="J183" s="23"/>
      <c r="K183" s="23" t="s">
        <v>173</v>
      </c>
      <c r="L183" s="23"/>
      <c r="M183" s="23"/>
      <c r="N183" s="23"/>
      <c r="O183" s="23" t="s">
        <v>174</v>
      </c>
      <c r="P183" s="23"/>
      <c r="Q183" s="23"/>
      <c r="R183" s="23" t="s">
        <v>175</v>
      </c>
      <c r="S183" s="23"/>
      <c r="T183" s="23"/>
      <c r="U183" s="23"/>
      <c r="V183" s="23"/>
      <c r="W183" s="23"/>
      <c r="X183" s="21"/>
      <c r="Y183" s="21"/>
    </row>
    <row r="184" spans="1:25" ht="39.75" customHeight="1" x14ac:dyDescent="0.2">
      <c r="A184" s="2">
        <v>2</v>
      </c>
      <c r="B184" s="1" t="s">
        <v>309</v>
      </c>
      <c r="C184" s="21" t="s">
        <v>310</v>
      </c>
      <c r="D184" s="21"/>
      <c r="E184" s="21"/>
      <c r="F184" s="21"/>
      <c r="G184" s="23" t="s">
        <v>132</v>
      </c>
      <c r="H184" s="23"/>
      <c r="I184" s="23"/>
      <c r="J184" s="23"/>
      <c r="K184" s="23"/>
      <c r="L184" s="23"/>
      <c r="M184" s="23"/>
      <c r="N184" s="23"/>
      <c r="O184" s="23" t="s">
        <v>174</v>
      </c>
      <c r="P184" s="23"/>
      <c r="Q184" s="23"/>
      <c r="R184" s="23"/>
      <c r="S184" s="23"/>
      <c r="T184" s="23"/>
      <c r="U184" s="23"/>
      <c r="V184" s="23"/>
      <c r="W184" s="23"/>
      <c r="X184" s="21" t="s">
        <v>239</v>
      </c>
      <c r="Y184" s="21"/>
    </row>
    <row r="185" spans="1:25" ht="26.25" customHeight="1" x14ac:dyDescent="0.2">
      <c r="A185" s="18"/>
      <c r="B185" s="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ht="26.25" customHeight="1" x14ac:dyDescent="0.2">
      <c r="A186" s="2" t="s">
        <v>195</v>
      </c>
      <c r="B186" s="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ht="28.5" customHeight="1" x14ac:dyDescent="0.2"/>
    <row r="188" spans="1:25" ht="36.75" customHeight="1" x14ac:dyDescent="0.2">
      <c r="A188" s="16">
        <v>18</v>
      </c>
      <c r="B188" s="17" t="s">
        <v>2</v>
      </c>
      <c r="C188" s="24" t="str">
        <f>B21</f>
        <v>mensaje</v>
      </c>
      <c r="D188" s="24"/>
      <c r="E188" s="24"/>
      <c r="F188" s="24"/>
      <c r="G188" s="25" t="s">
        <v>3</v>
      </c>
      <c r="H188" s="25"/>
      <c r="I188" s="25"/>
      <c r="J188" s="25"/>
      <c r="K188" s="26" t="str">
        <f>F21</f>
        <v>Texto enviado por un usuario dentro de un chat.</v>
      </c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3" t="s">
        <v>159</v>
      </c>
      <c r="Y188" s="4" t="s">
        <v>160</v>
      </c>
    </row>
    <row r="189" spans="1:25" ht="41.25" customHeight="1" x14ac:dyDescent="0.2">
      <c r="A189" s="3" t="s">
        <v>1</v>
      </c>
      <c r="B189" s="3" t="s">
        <v>161</v>
      </c>
      <c r="C189" s="25" t="s">
        <v>162</v>
      </c>
      <c r="D189" s="25"/>
      <c r="E189" s="25"/>
      <c r="F189" s="25"/>
      <c r="G189" s="25" t="s">
        <v>163</v>
      </c>
      <c r="H189" s="25"/>
      <c r="I189" s="25"/>
      <c r="J189" s="25"/>
      <c r="K189" s="25" t="s">
        <v>164</v>
      </c>
      <c r="L189" s="25"/>
      <c r="M189" s="25"/>
      <c r="N189" s="25"/>
      <c r="O189" s="25" t="s">
        <v>165</v>
      </c>
      <c r="P189" s="25"/>
      <c r="Q189" s="25"/>
      <c r="R189" s="25" t="s">
        <v>166</v>
      </c>
      <c r="S189" s="25"/>
      <c r="T189" s="25" t="s">
        <v>167</v>
      </c>
      <c r="U189" s="25"/>
      <c r="V189" s="25" t="s">
        <v>168</v>
      </c>
      <c r="W189" s="25"/>
      <c r="X189" s="25" t="s">
        <v>169</v>
      </c>
      <c r="Y189" s="25"/>
    </row>
    <row r="190" spans="1:25" ht="26.25" customHeight="1" x14ac:dyDescent="0.2">
      <c r="A190" s="2">
        <v>1</v>
      </c>
      <c r="B190" s="1" t="s">
        <v>311</v>
      </c>
      <c r="C190" s="21" t="s">
        <v>312</v>
      </c>
      <c r="D190" s="21"/>
      <c r="E190" s="21"/>
      <c r="F190" s="21"/>
      <c r="G190" s="23" t="s">
        <v>172</v>
      </c>
      <c r="H190" s="23"/>
      <c r="I190" s="23"/>
      <c r="J190" s="23"/>
      <c r="K190" s="23" t="s">
        <v>173</v>
      </c>
      <c r="L190" s="23"/>
      <c r="M190" s="23"/>
      <c r="N190" s="23"/>
      <c r="O190" s="23" t="s">
        <v>174</v>
      </c>
      <c r="P190" s="23"/>
      <c r="Q190" s="23"/>
      <c r="R190" s="23" t="s">
        <v>175</v>
      </c>
      <c r="S190" s="23"/>
      <c r="T190" s="23"/>
      <c r="U190" s="23"/>
      <c r="V190" s="23"/>
      <c r="W190" s="23"/>
      <c r="X190" s="21"/>
      <c r="Y190" s="21"/>
    </row>
    <row r="191" spans="1:25" ht="39.75" customHeight="1" x14ac:dyDescent="0.2">
      <c r="A191" s="2">
        <v>2</v>
      </c>
      <c r="B191" s="1" t="s">
        <v>307</v>
      </c>
      <c r="C191" s="21" t="s">
        <v>313</v>
      </c>
      <c r="D191" s="21"/>
      <c r="E191" s="21"/>
      <c r="F191" s="21"/>
      <c r="G191" s="23" t="s">
        <v>110</v>
      </c>
      <c r="H191" s="23"/>
      <c r="I191" s="23"/>
      <c r="J191" s="23"/>
      <c r="K191" s="23" t="s">
        <v>173</v>
      </c>
      <c r="L191" s="23"/>
      <c r="M191" s="23"/>
      <c r="N191" s="23"/>
      <c r="O191" s="23" t="s">
        <v>174</v>
      </c>
      <c r="P191" s="23"/>
      <c r="Q191" s="23"/>
      <c r="R191" s="23"/>
      <c r="S191" s="23"/>
      <c r="T191" s="23" t="s">
        <v>175</v>
      </c>
      <c r="U191" s="23"/>
      <c r="V191" s="23"/>
      <c r="W191" s="23"/>
      <c r="X191" s="21" t="s">
        <v>314</v>
      </c>
      <c r="Y191" s="21"/>
    </row>
    <row r="192" spans="1:25" ht="39.75" customHeight="1" x14ac:dyDescent="0.2">
      <c r="A192" s="2">
        <v>3</v>
      </c>
      <c r="B192" s="1" t="s">
        <v>315</v>
      </c>
      <c r="C192" s="21" t="s">
        <v>316</v>
      </c>
      <c r="D192" s="21"/>
      <c r="E192" s="21"/>
      <c r="F192" s="21"/>
      <c r="G192" s="23" t="s">
        <v>110</v>
      </c>
      <c r="H192" s="23"/>
      <c r="I192" s="23"/>
      <c r="J192" s="23"/>
      <c r="K192" s="23" t="s">
        <v>173</v>
      </c>
      <c r="L192" s="23"/>
      <c r="M192" s="23"/>
      <c r="N192" s="23"/>
      <c r="O192" s="23" t="s">
        <v>174</v>
      </c>
      <c r="P192" s="23"/>
      <c r="Q192" s="23"/>
      <c r="R192" s="23"/>
      <c r="S192" s="23"/>
      <c r="T192" s="23" t="s">
        <v>175</v>
      </c>
      <c r="U192" s="23"/>
      <c r="V192" s="23"/>
      <c r="W192" s="23"/>
      <c r="X192" s="21" t="s">
        <v>231</v>
      </c>
      <c r="Y192" s="21"/>
    </row>
    <row r="193" spans="1:25" ht="39.75" customHeight="1" x14ac:dyDescent="0.2">
      <c r="A193" s="2">
        <v>4</v>
      </c>
      <c r="B193" s="1" t="s">
        <v>317</v>
      </c>
      <c r="C193" s="21" t="s">
        <v>318</v>
      </c>
      <c r="D193" s="21"/>
      <c r="E193" s="21"/>
      <c r="F193" s="21"/>
      <c r="G193" s="23" t="s">
        <v>184</v>
      </c>
      <c r="H193" s="23"/>
      <c r="I193" s="23"/>
      <c r="J193" s="23"/>
      <c r="K193" s="23" t="s">
        <v>216</v>
      </c>
      <c r="L193" s="23"/>
      <c r="M193" s="23"/>
      <c r="N193" s="23"/>
      <c r="O193" s="23" t="s">
        <v>174</v>
      </c>
      <c r="P193" s="23"/>
      <c r="Q193" s="23"/>
      <c r="R193" s="23"/>
      <c r="S193" s="23"/>
      <c r="T193" s="23"/>
      <c r="U193" s="23"/>
      <c r="V193" s="23"/>
      <c r="W193" s="23"/>
      <c r="X193" s="21"/>
      <c r="Y193" s="21"/>
    </row>
    <row r="194" spans="1:25" ht="39.75" customHeight="1" x14ac:dyDescent="0.2">
      <c r="A194" s="2">
        <v>5</v>
      </c>
      <c r="B194" s="1" t="s">
        <v>319</v>
      </c>
      <c r="C194" s="21" t="s">
        <v>320</v>
      </c>
      <c r="D194" s="21"/>
      <c r="E194" s="21"/>
      <c r="F194" s="21"/>
      <c r="G194" s="23" t="s">
        <v>132</v>
      </c>
      <c r="H194" s="23"/>
      <c r="I194" s="23"/>
      <c r="J194" s="23"/>
      <c r="K194" s="23"/>
      <c r="L194" s="23"/>
      <c r="M194" s="23"/>
      <c r="N194" s="23"/>
      <c r="O194" s="23" t="s">
        <v>174</v>
      </c>
      <c r="P194" s="23"/>
      <c r="Q194" s="23"/>
      <c r="R194" s="23"/>
      <c r="S194" s="23"/>
      <c r="T194" s="23"/>
      <c r="U194" s="23"/>
      <c r="V194" s="23"/>
      <c r="W194" s="23"/>
      <c r="X194" s="21" t="s">
        <v>239</v>
      </c>
      <c r="Y194" s="21"/>
    </row>
    <row r="195" spans="1:25" ht="26.25" customHeight="1" x14ac:dyDescent="0.2">
      <c r="A195" s="18"/>
      <c r="B195" s="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ht="26.25" customHeight="1" x14ac:dyDescent="0.2">
      <c r="A196" s="2" t="s">
        <v>195</v>
      </c>
      <c r="B196" s="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ht="28.5" customHeight="1" x14ac:dyDescent="0.2"/>
    <row r="198" spans="1:25" ht="60" customHeight="1" x14ac:dyDescent="0.2">
      <c r="A198" s="16">
        <v>19</v>
      </c>
      <c r="B198" s="17" t="s">
        <v>2</v>
      </c>
      <c r="C198" s="24" t="str">
        <f>B22</f>
        <v>resena</v>
      </c>
      <c r="D198" s="24"/>
      <c r="E198" s="24"/>
      <c r="F198" s="24"/>
      <c r="G198" s="25" t="s">
        <v>3</v>
      </c>
      <c r="H198" s="25"/>
      <c r="I198" s="25"/>
      <c r="J198" s="25"/>
      <c r="K198" s="26" t="str">
        <f>F22</f>
        <v>Evaluación numérica y comentario que un usuario deja sobre otro tras una compra, servicio o interacción.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3" t="s">
        <v>159</v>
      </c>
      <c r="Y198" s="4" t="s">
        <v>160</v>
      </c>
    </row>
    <row r="199" spans="1:25" ht="41.25" customHeight="1" x14ac:dyDescent="0.2">
      <c r="A199" s="3" t="s">
        <v>1</v>
      </c>
      <c r="B199" s="3" t="s">
        <v>161</v>
      </c>
      <c r="C199" s="25" t="s">
        <v>162</v>
      </c>
      <c r="D199" s="25"/>
      <c r="E199" s="25"/>
      <c r="F199" s="25"/>
      <c r="G199" s="25" t="s">
        <v>163</v>
      </c>
      <c r="H199" s="25"/>
      <c r="I199" s="25"/>
      <c r="J199" s="25"/>
      <c r="K199" s="25" t="s">
        <v>164</v>
      </c>
      <c r="L199" s="25"/>
      <c r="M199" s="25"/>
      <c r="N199" s="25"/>
      <c r="O199" s="25" t="s">
        <v>165</v>
      </c>
      <c r="P199" s="25"/>
      <c r="Q199" s="25"/>
      <c r="R199" s="25" t="s">
        <v>166</v>
      </c>
      <c r="S199" s="25"/>
      <c r="T199" s="25" t="s">
        <v>167</v>
      </c>
      <c r="U199" s="25"/>
      <c r="V199" s="25" t="s">
        <v>168</v>
      </c>
      <c r="W199" s="25"/>
      <c r="X199" s="25" t="s">
        <v>169</v>
      </c>
      <c r="Y199" s="25"/>
    </row>
    <row r="200" spans="1:25" ht="26.25" customHeight="1" x14ac:dyDescent="0.2">
      <c r="A200" s="2">
        <v>1</v>
      </c>
      <c r="B200" s="1" t="s">
        <v>321</v>
      </c>
      <c r="C200" s="21" t="s">
        <v>322</v>
      </c>
      <c r="D200" s="21"/>
      <c r="E200" s="21"/>
      <c r="F200" s="21"/>
      <c r="G200" s="23" t="s">
        <v>172</v>
      </c>
      <c r="H200" s="23"/>
      <c r="I200" s="23"/>
      <c r="J200" s="23"/>
      <c r="K200" s="23" t="s">
        <v>173</v>
      </c>
      <c r="L200" s="23"/>
      <c r="M200" s="23"/>
      <c r="N200" s="23"/>
      <c r="O200" s="23" t="s">
        <v>174</v>
      </c>
      <c r="P200" s="23"/>
      <c r="Q200" s="23"/>
      <c r="R200" s="23" t="s">
        <v>175</v>
      </c>
      <c r="S200" s="23"/>
      <c r="T200" s="23"/>
      <c r="U200" s="23"/>
      <c r="V200" s="23"/>
      <c r="W200" s="23"/>
      <c r="X200" s="21"/>
      <c r="Y200" s="21"/>
    </row>
    <row r="201" spans="1:25" ht="26.25" customHeight="1" x14ac:dyDescent="0.2">
      <c r="A201" s="2">
        <v>2</v>
      </c>
      <c r="B201" s="1" t="s">
        <v>323</v>
      </c>
      <c r="C201" s="21" t="s">
        <v>324</v>
      </c>
      <c r="D201" s="21"/>
      <c r="E201" s="21"/>
      <c r="F201" s="21"/>
      <c r="G201" s="23" t="s">
        <v>110</v>
      </c>
      <c r="H201" s="23"/>
      <c r="I201" s="23"/>
      <c r="J201" s="23"/>
      <c r="K201" s="23" t="s">
        <v>173</v>
      </c>
      <c r="L201" s="23"/>
      <c r="M201" s="23"/>
      <c r="N201" s="23"/>
      <c r="O201" s="23" t="s">
        <v>174</v>
      </c>
      <c r="P201" s="23"/>
      <c r="Q201" s="23"/>
      <c r="R201" s="23"/>
      <c r="S201" s="23"/>
      <c r="T201" s="23" t="s">
        <v>175</v>
      </c>
      <c r="U201" s="23"/>
      <c r="V201" s="23"/>
      <c r="W201" s="23"/>
      <c r="X201" s="21" t="s">
        <v>231</v>
      </c>
      <c r="Y201" s="21"/>
    </row>
    <row r="202" spans="1:25" ht="55.5" customHeight="1" x14ac:dyDescent="0.2">
      <c r="A202" s="2">
        <v>3</v>
      </c>
      <c r="B202" s="1" t="s">
        <v>267</v>
      </c>
      <c r="C202" s="21" t="s">
        <v>325</v>
      </c>
      <c r="D202" s="21"/>
      <c r="E202" s="21"/>
      <c r="F202" s="21"/>
      <c r="G202" s="23" t="s">
        <v>110</v>
      </c>
      <c r="H202" s="23"/>
      <c r="I202" s="23"/>
      <c r="J202" s="23"/>
      <c r="K202" s="23" t="s">
        <v>173</v>
      </c>
      <c r="L202" s="23"/>
      <c r="M202" s="23"/>
      <c r="N202" s="23"/>
      <c r="O202" s="23" t="s">
        <v>203</v>
      </c>
      <c r="P202" s="23"/>
      <c r="Q202" s="23"/>
      <c r="R202" s="23"/>
      <c r="S202" s="23"/>
      <c r="T202" s="23" t="s">
        <v>175</v>
      </c>
      <c r="U202" s="23"/>
      <c r="V202" s="23"/>
      <c r="W202" s="23"/>
      <c r="X202" s="21" t="s">
        <v>326</v>
      </c>
      <c r="Y202" s="21"/>
    </row>
    <row r="203" spans="1:25" ht="55.5" customHeight="1" x14ac:dyDescent="0.2">
      <c r="A203" s="2">
        <v>4</v>
      </c>
      <c r="B203" s="1" t="s">
        <v>280</v>
      </c>
      <c r="C203" s="21" t="s">
        <v>327</v>
      </c>
      <c r="D203" s="21"/>
      <c r="E203" s="21"/>
      <c r="F203" s="21"/>
      <c r="G203" s="23" t="s">
        <v>110</v>
      </c>
      <c r="H203" s="23"/>
      <c r="I203" s="23"/>
      <c r="J203" s="23"/>
      <c r="K203" s="23" t="s">
        <v>173</v>
      </c>
      <c r="L203" s="23"/>
      <c r="M203" s="23"/>
      <c r="N203" s="23"/>
      <c r="O203" s="23" t="s">
        <v>203</v>
      </c>
      <c r="P203" s="23"/>
      <c r="Q203" s="23"/>
      <c r="R203" s="23"/>
      <c r="S203" s="23"/>
      <c r="T203" s="23" t="s">
        <v>175</v>
      </c>
      <c r="U203" s="23"/>
      <c r="V203" s="23"/>
      <c r="W203" s="23"/>
      <c r="X203" s="21" t="s">
        <v>328</v>
      </c>
      <c r="Y203" s="21"/>
    </row>
    <row r="204" spans="1:25" ht="55.5" customHeight="1" x14ac:dyDescent="0.2">
      <c r="A204" s="2">
        <v>5</v>
      </c>
      <c r="B204" s="1" t="s">
        <v>290</v>
      </c>
      <c r="C204" s="21" t="s">
        <v>329</v>
      </c>
      <c r="D204" s="21"/>
      <c r="E204" s="21"/>
      <c r="F204" s="21"/>
      <c r="G204" s="23" t="s">
        <v>110</v>
      </c>
      <c r="H204" s="23"/>
      <c r="I204" s="23"/>
      <c r="J204" s="23"/>
      <c r="K204" s="23" t="s">
        <v>173</v>
      </c>
      <c r="L204" s="23"/>
      <c r="M204" s="23"/>
      <c r="N204" s="23"/>
      <c r="O204" s="23" t="s">
        <v>203</v>
      </c>
      <c r="P204" s="23"/>
      <c r="Q204" s="23"/>
      <c r="R204" s="23"/>
      <c r="S204" s="23"/>
      <c r="T204" s="23" t="s">
        <v>175</v>
      </c>
      <c r="U204" s="23"/>
      <c r="V204" s="23"/>
      <c r="W204" s="23"/>
      <c r="X204" s="21" t="s">
        <v>330</v>
      </c>
      <c r="Y204" s="21"/>
    </row>
    <row r="205" spans="1:25" ht="39.75" customHeight="1" x14ac:dyDescent="0.2">
      <c r="A205" s="2">
        <v>6</v>
      </c>
      <c r="B205" s="1" t="s">
        <v>331</v>
      </c>
      <c r="C205" s="21" t="s">
        <v>332</v>
      </c>
      <c r="D205" s="21"/>
      <c r="E205" s="21"/>
      <c r="F205" s="21"/>
      <c r="G205" s="23" t="s">
        <v>110</v>
      </c>
      <c r="H205" s="23"/>
      <c r="I205" s="23"/>
      <c r="J205" s="23"/>
      <c r="K205" s="23" t="s">
        <v>173</v>
      </c>
      <c r="L205" s="23"/>
      <c r="M205" s="23"/>
      <c r="N205" s="23"/>
      <c r="O205" s="23" t="s">
        <v>174</v>
      </c>
      <c r="P205" s="23"/>
      <c r="Q205" s="23"/>
      <c r="R205" s="23"/>
      <c r="S205" s="23"/>
      <c r="T205" s="23"/>
      <c r="U205" s="23"/>
      <c r="V205" s="23"/>
      <c r="W205" s="23"/>
      <c r="X205" s="21" t="s">
        <v>333</v>
      </c>
      <c r="Y205" s="21"/>
    </row>
    <row r="206" spans="1:25" ht="39.75" customHeight="1" x14ac:dyDescent="0.2">
      <c r="A206" s="2">
        <v>7</v>
      </c>
      <c r="B206" s="1" t="s">
        <v>334</v>
      </c>
      <c r="C206" s="21" t="s">
        <v>335</v>
      </c>
      <c r="D206" s="21"/>
      <c r="E206" s="21"/>
      <c r="F206" s="21"/>
      <c r="G206" s="23" t="s">
        <v>184</v>
      </c>
      <c r="H206" s="23"/>
      <c r="I206" s="23"/>
      <c r="J206" s="23"/>
      <c r="K206" s="23" t="s">
        <v>216</v>
      </c>
      <c r="L206" s="23"/>
      <c r="M206" s="23"/>
      <c r="N206" s="23"/>
      <c r="O206" s="23" t="s">
        <v>203</v>
      </c>
      <c r="P206" s="23"/>
      <c r="Q206" s="23"/>
      <c r="R206" s="23"/>
      <c r="S206" s="23"/>
      <c r="T206" s="23"/>
      <c r="U206" s="23"/>
      <c r="V206" s="23"/>
      <c r="W206" s="23"/>
      <c r="X206" s="21"/>
      <c r="Y206" s="21"/>
    </row>
    <row r="207" spans="1:25" ht="26.25" customHeight="1" x14ac:dyDescent="0.2">
      <c r="A207" s="18"/>
      <c r="B207" s="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ht="26.25" customHeight="1" x14ac:dyDescent="0.2">
      <c r="A208" s="2" t="s">
        <v>195</v>
      </c>
      <c r="B208" s="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ht="28.5" customHeight="1" x14ac:dyDescent="0.2"/>
    <row r="210" spans="1:25" ht="60" customHeight="1" x14ac:dyDescent="0.2">
      <c r="A210" s="16">
        <v>20</v>
      </c>
      <c r="B210" s="17" t="s">
        <v>2</v>
      </c>
      <c r="C210" s="24" t="str">
        <f>B23</f>
        <v>notificacion</v>
      </c>
      <c r="D210" s="24"/>
      <c r="E210" s="24"/>
      <c r="F210" s="24"/>
      <c r="G210" s="25" t="s">
        <v>3</v>
      </c>
      <c r="H210" s="25"/>
      <c r="I210" s="25"/>
      <c r="J210" s="25"/>
      <c r="K210" s="26" t="str">
        <f>F23</f>
        <v>Alerta automática que informa a un usuario sobre interacciones relevantes (comentarios, likes, mensajes).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3" t="s">
        <v>159</v>
      </c>
      <c r="Y210" s="4" t="s">
        <v>160</v>
      </c>
    </row>
    <row r="211" spans="1:25" ht="41.25" customHeight="1" x14ac:dyDescent="0.2">
      <c r="A211" s="3" t="s">
        <v>1</v>
      </c>
      <c r="B211" s="3" t="s">
        <v>161</v>
      </c>
      <c r="C211" s="25" t="s">
        <v>162</v>
      </c>
      <c r="D211" s="25"/>
      <c r="E211" s="25"/>
      <c r="F211" s="25"/>
      <c r="G211" s="25" t="s">
        <v>163</v>
      </c>
      <c r="H211" s="25"/>
      <c r="I211" s="25"/>
      <c r="J211" s="25"/>
      <c r="K211" s="25" t="s">
        <v>164</v>
      </c>
      <c r="L211" s="25"/>
      <c r="M211" s="25"/>
      <c r="N211" s="25"/>
      <c r="O211" s="25" t="s">
        <v>165</v>
      </c>
      <c r="P211" s="25"/>
      <c r="Q211" s="25"/>
      <c r="R211" s="25" t="s">
        <v>166</v>
      </c>
      <c r="S211" s="25"/>
      <c r="T211" s="25" t="s">
        <v>167</v>
      </c>
      <c r="U211" s="25"/>
      <c r="V211" s="25" t="s">
        <v>168</v>
      </c>
      <c r="W211" s="25"/>
      <c r="X211" s="25" t="s">
        <v>169</v>
      </c>
      <c r="Y211" s="25"/>
    </row>
    <row r="212" spans="1:25" ht="26.25" customHeight="1" x14ac:dyDescent="0.2">
      <c r="A212" s="2">
        <v>1</v>
      </c>
      <c r="B212" s="1" t="s">
        <v>336</v>
      </c>
      <c r="C212" s="21" t="s">
        <v>337</v>
      </c>
      <c r="D212" s="21"/>
      <c r="E212" s="21"/>
      <c r="F212" s="21"/>
      <c r="G212" s="23" t="s">
        <v>172</v>
      </c>
      <c r="H212" s="23"/>
      <c r="I212" s="23"/>
      <c r="J212" s="23"/>
      <c r="K212" s="23" t="s">
        <v>173</v>
      </c>
      <c r="L212" s="23"/>
      <c r="M212" s="23"/>
      <c r="N212" s="23"/>
      <c r="O212" s="23" t="s">
        <v>174</v>
      </c>
      <c r="P212" s="23"/>
      <c r="Q212" s="23"/>
      <c r="R212" s="23" t="s">
        <v>175</v>
      </c>
      <c r="S212" s="23"/>
      <c r="T212" s="23"/>
      <c r="U212" s="23"/>
      <c r="V212" s="23"/>
      <c r="W212" s="23"/>
      <c r="X212" s="21"/>
      <c r="Y212" s="21"/>
    </row>
    <row r="213" spans="1:25" ht="39.75" customHeight="1" x14ac:dyDescent="0.2">
      <c r="A213" s="2">
        <v>2</v>
      </c>
      <c r="B213" s="1" t="s">
        <v>338</v>
      </c>
      <c r="C213" s="21" t="s">
        <v>339</v>
      </c>
      <c r="D213" s="21"/>
      <c r="E213" s="21"/>
      <c r="F213" s="21"/>
      <c r="G213" s="23" t="s">
        <v>110</v>
      </c>
      <c r="H213" s="23"/>
      <c r="I213" s="23"/>
      <c r="J213" s="23"/>
      <c r="K213" s="23" t="s">
        <v>173</v>
      </c>
      <c r="L213" s="23"/>
      <c r="M213" s="23"/>
      <c r="N213" s="23"/>
      <c r="O213" s="23" t="s">
        <v>174</v>
      </c>
      <c r="P213" s="23"/>
      <c r="Q213" s="23"/>
      <c r="R213" s="23"/>
      <c r="S213" s="23"/>
      <c r="T213" s="23" t="s">
        <v>175</v>
      </c>
      <c r="U213" s="23"/>
      <c r="V213" s="23"/>
      <c r="W213" s="23"/>
      <c r="X213" s="21" t="s">
        <v>231</v>
      </c>
      <c r="Y213" s="21"/>
    </row>
    <row r="214" spans="1:25" ht="39.75" customHeight="1" x14ac:dyDescent="0.2">
      <c r="A214" s="2">
        <v>3</v>
      </c>
      <c r="B214" s="1" t="s">
        <v>228</v>
      </c>
      <c r="C214" s="21" t="s">
        <v>340</v>
      </c>
      <c r="D214" s="21"/>
      <c r="E214" s="21"/>
      <c r="F214" s="21"/>
      <c r="G214" s="23" t="s">
        <v>110</v>
      </c>
      <c r="H214" s="23"/>
      <c r="I214" s="23"/>
      <c r="J214" s="23"/>
      <c r="K214" s="23" t="s">
        <v>173</v>
      </c>
      <c r="L214" s="23"/>
      <c r="M214" s="23"/>
      <c r="N214" s="23"/>
      <c r="O214" s="23" t="s">
        <v>203</v>
      </c>
      <c r="P214" s="23"/>
      <c r="Q214" s="23"/>
      <c r="R214" s="23"/>
      <c r="S214" s="23"/>
      <c r="T214" s="23" t="s">
        <v>175</v>
      </c>
      <c r="U214" s="23"/>
      <c r="V214" s="23"/>
      <c r="W214" s="23"/>
      <c r="X214" s="21" t="s">
        <v>247</v>
      </c>
      <c r="Y214" s="21"/>
    </row>
    <row r="215" spans="1:25" ht="39.75" customHeight="1" x14ac:dyDescent="0.2">
      <c r="A215" s="2">
        <v>4</v>
      </c>
      <c r="B215" s="1" t="s">
        <v>244</v>
      </c>
      <c r="C215" s="21" t="s">
        <v>341</v>
      </c>
      <c r="D215" s="21"/>
      <c r="E215" s="21"/>
      <c r="F215" s="21"/>
      <c r="G215" s="23" t="s">
        <v>110</v>
      </c>
      <c r="H215" s="23"/>
      <c r="I215" s="23"/>
      <c r="J215" s="23"/>
      <c r="K215" s="23" t="s">
        <v>173</v>
      </c>
      <c r="L215" s="23"/>
      <c r="M215" s="23"/>
      <c r="N215" s="23"/>
      <c r="O215" s="23" t="s">
        <v>203</v>
      </c>
      <c r="P215" s="23"/>
      <c r="Q215" s="23"/>
      <c r="R215" s="23"/>
      <c r="S215" s="23"/>
      <c r="T215" s="23" t="s">
        <v>175</v>
      </c>
      <c r="U215" s="23"/>
      <c r="V215" s="23"/>
      <c r="W215" s="23"/>
      <c r="X215" s="21" t="s">
        <v>342</v>
      </c>
      <c r="Y215" s="21"/>
    </row>
    <row r="216" spans="1:25" ht="39.75" customHeight="1" x14ac:dyDescent="0.2">
      <c r="A216" s="2">
        <v>5</v>
      </c>
      <c r="B216" s="1" t="s">
        <v>343</v>
      </c>
      <c r="C216" s="21" t="s">
        <v>344</v>
      </c>
      <c r="D216" s="21"/>
      <c r="E216" s="21"/>
      <c r="F216" s="21"/>
      <c r="G216" s="23" t="s">
        <v>117</v>
      </c>
      <c r="H216" s="23"/>
      <c r="I216" s="23"/>
      <c r="J216" s="23"/>
      <c r="K216" s="23"/>
      <c r="L216" s="23"/>
      <c r="M216" s="23"/>
      <c r="N216" s="23"/>
      <c r="O216" s="23" t="s">
        <v>174</v>
      </c>
      <c r="P216" s="23"/>
      <c r="Q216" s="23"/>
      <c r="R216" s="23"/>
      <c r="S216" s="23"/>
      <c r="T216" s="23"/>
      <c r="U216" s="23"/>
      <c r="V216" s="23"/>
      <c r="W216" s="23"/>
      <c r="X216" s="21" t="s">
        <v>345</v>
      </c>
      <c r="Y216" s="21"/>
    </row>
    <row r="217" spans="1:25" ht="39.75" customHeight="1" x14ac:dyDescent="0.2">
      <c r="A217" s="2">
        <v>6</v>
      </c>
      <c r="B217" s="1" t="s">
        <v>346</v>
      </c>
      <c r="C217" s="21" t="s">
        <v>347</v>
      </c>
      <c r="D217" s="21"/>
      <c r="E217" s="21"/>
      <c r="F217" s="21"/>
      <c r="G217" s="23" t="s">
        <v>132</v>
      </c>
      <c r="H217" s="23"/>
      <c r="I217" s="23"/>
      <c r="J217" s="23"/>
      <c r="K217" s="23"/>
      <c r="L217" s="23"/>
      <c r="M217" s="23"/>
      <c r="N217" s="23"/>
      <c r="O217" s="23" t="s">
        <v>174</v>
      </c>
      <c r="P217" s="23"/>
      <c r="Q217" s="23"/>
      <c r="R217" s="23"/>
      <c r="S217" s="23"/>
      <c r="T217" s="23"/>
      <c r="U217" s="23"/>
      <c r="V217" s="23"/>
      <c r="W217" s="23"/>
      <c r="X217" s="21" t="s">
        <v>239</v>
      </c>
      <c r="Y217" s="21"/>
    </row>
    <row r="218" spans="1:25" ht="26.25" customHeight="1" x14ac:dyDescent="0.2">
      <c r="A218" s="18"/>
      <c r="B218" s="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ht="26.25" customHeight="1" x14ac:dyDescent="0.2">
      <c r="A219" s="2" t="s">
        <v>195</v>
      </c>
      <c r="B219" s="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ht="28.5" customHeight="1" x14ac:dyDescent="0.2"/>
    <row r="221" spans="1:25" ht="60" customHeight="1" x14ac:dyDescent="0.2">
      <c r="A221" s="16">
        <v>21</v>
      </c>
      <c r="B221" s="17" t="s">
        <v>2</v>
      </c>
      <c r="C221" s="24" t="str">
        <f>B24</f>
        <v>venta</v>
      </c>
      <c r="D221" s="24"/>
      <c r="E221" s="24"/>
      <c r="F221" s="24"/>
      <c r="G221" s="25" t="s">
        <v>3</v>
      </c>
      <c r="H221" s="25"/>
      <c r="I221" s="25"/>
      <c r="J221" s="25"/>
      <c r="K221" s="26" t="str">
        <f>F24</f>
        <v>Transacción comercial entre un usuario comprador y un usuario vendedor, que puede incluir productos, servicios y eventos.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3" t="s">
        <v>159</v>
      </c>
      <c r="Y221" s="4" t="s">
        <v>160</v>
      </c>
    </row>
    <row r="222" spans="1:25" ht="41.25" customHeight="1" x14ac:dyDescent="0.2">
      <c r="A222" s="3" t="s">
        <v>1</v>
      </c>
      <c r="B222" s="3" t="s">
        <v>161</v>
      </c>
      <c r="C222" s="25" t="s">
        <v>162</v>
      </c>
      <c r="D222" s="25"/>
      <c r="E222" s="25"/>
      <c r="F222" s="25"/>
      <c r="G222" s="25" t="s">
        <v>163</v>
      </c>
      <c r="H222" s="25"/>
      <c r="I222" s="25"/>
      <c r="J222" s="25"/>
      <c r="K222" s="25" t="s">
        <v>164</v>
      </c>
      <c r="L222" s="25"/>
      <c r="M222" s="25"/>
      <c r="N222" s="25"/>
      <c r="O222" s="25" t="s">
        <v>165</v>
      </c>
      <c r="P222" s="25"/>
      <c r="Q222" s="25"/>
      <c r="R222" s="25" t="s">
        <v>166</v>
      </c>
      <c r="S222" s="25"/>
      <c r="T222" s="25" t="s">
        <v>167</v>
      </c>
      <c r="U222" s="25"/>
      <c r="V222" s="25" t="s">
        <v>168</v>
      </c>
      <c r="W222" s="25"/>
      <c r="X222" s="25" t="s">
        <v>169</v>
      </c>
      <c r="Y222" s="25"/>
    </row>
    <row r="223" spans="1:25" ht="26.25" customHeight="1" x14ac:dyDescent="0.2">
      <c r="A223" s="2">
        <v>1</v>
      </c>
      <c r="B223" s="1" t="s">
        <v>348</v>
      </c>
      <c r="C223" s="21" t="s">
        <v>349</v>
      </c>
      <c r="D223" s="21"/>
      <c r="E223" s="21"/>
      <c r="F223" s="21"/>
      <c r="G223" s="23" t="s">
        <v>172</v>
      </c>
      <c r="H223" s="23"/>
      <c r="I223" s="23"/>
      <c r="J223" s="23"/>
      <c r="K223" s="23" t="s">
        <v>173</v>
      </c>
      <c r="L223" s="23"/>
      <c r="M223" s="23"/>
      <c r="N223" s="23"/>
      <c r="O223" s="23" t="s">
        <v>174</v>
      </c>
      <c r="P223" s="23"/>
      <c r="Q223" s="23"/>
      <c r="R223" s="23" t="s">
        <v>175</v>
      </c>
      <c r="S223" s="23"/>
      <c r="T223" s="23"/>
      <c r="U223" s="23"/>
      <c r="V223" s="23"/>
      <c r="W223" s="23"/>
      <c r="X223" s="21"/>
      <c r="Y223" s="21"/>
    </row>
    <row r="224" spans="1:25" ht="26.25" customHeight="1" x14ac:dyDescent="0.2">
      <c r="A224" s="2">
        <v>2</v>
      </c>
      <c r="B224" s="1" t="s">
        <v>350</v>
      </c>
      <c r="C224" s="21" t="s">
        <v>351</v>
      </c>
      <c r="D224" s="21"/>
      <c r="E224" s="21"/>
      <c r="F224" s="21"/>
      <c r="G224" s="23" t="s">
        <v>110</v>
      </c>
      <c r="H224" s="23"/>
      <c r="I224" s="23"/>
      <c r="J224" s="23"/>
      <c r="K224" s="23" t="s">
        <v>173</v>
      </c>
      <c r="L224" s="23"/>
      <c r="M224" s="23"/>
      <c r="N224" s="23"/>
      <c r="O224" s="23" t="s">
        <v>174</v>
      </c>
      <c r="P224" s="23"/>
      <c r="Q224" s="23"/>
      <c r="R224" s="23"/>
      <c r="S224" s="23"/>
      <c r="T224" s="23" t="s">
        <v>175</v>
      </c>
      <c r="U224" s="23"/>
      <c r="V224" s="23"/>
      <c r="W224" s="23"/>
      <c r="X224" s="21" t="s">
        <v>231</v>
      </c>
      <c r="Y224" s="21"/>
    </row>
    <row r="225" spans="1:25" ht="26.25" customHeight="1" x14ac:dyDescent="0.2">
      <c r="A225" s="2">
        <v>3</v>
      </c>
      <c r="B225" s="1" t="s">
        <v>352</v>
      </c>
      <c r="C225" s="21" t="s">
        <v>353</v>
      </c>
      <c r="D225" s="21"/>
      <c r="E225" s="21"/>
      <c r="F225" s="21"/>
      <c r="G225" s="23" t="s">
        <v>110</v>
      </c>
      <c r="H225" s="23"/>
      <c r="I225" s="23"/>
      <c r="J225" s="23"/>
      <c r="K225" s="23" t="s">
        <v>173</v>
      </c>
      <c r="L225" s="23"/>
      <c r="M225" s="23"/>
      <c r="N225" s="23"/>
      <c r="O225" s="23" t="s">
        <v>174</v>
      </c>
      <c r="P225" s="23"/>
      <c r="Q225" s="23"/>
      <c r="R225" s="23"/>
      <c r="S225" s="23"/>
      <c r="T225" s="23" t="s">
        <v>175</v>
      </c>
      <c r="U225" s="23"/>
      <c r="V225" s="23"/>
      <c r="W225" s="23"/>
      <c r="X225" s="21" t="s">
        <v>231</v>
      </c>
      <c r="Y225" s="21"/>
    </row>
    <row r="226" spans="1:25" ht="39.75" customHeight="1" x14ac:dyDescent="0.2">
      <c r="A226" s="2">
        <v>4</v>
      </c>
      <c r="B226" s="1" t="s">
        <v>354</v>
      </c>
      <c r="C226" s="21" t="s">
        <v>355</v>
      </c>
      <c r="D226" s="21"/>
      <c r="E226" s="21"/>
      <c r="F226" s="21"/>
      <c r="G226" s="23" t="s">
        <v>132</v>
      </c>
      <c r="H226" s="23"/>
      <c r="I226" s="23"/>
      <c r="J226" s="23"/>
      <c r="K226" s="23"/>
      <c r="L226" s="23"/>
      <c r="M226" s="23"/>
      <c r="N226" s="23"/>
      <c r="O226" s="23" t="s">
        <v>174</v>
      </c>
      <c r="P226" s="23"/>
      <c r="Q226" s="23"/>
      <c r="R226" s="23"/>
      <c r="S226" s="23"/>
      <c r="T226" s="23"/>
      <c r="U226" s="23"/>
      <c r="V226" s="23"/>
      <c r="W226" s="23"/>
      <c r="X226" s="21" t="s">
        <v>239</v>
      </c>
      <c r="Y226" s="21"/>
    </row>
    <row r="227" spans="1:25" ht="26.25" customHeight="1" x14ac:dyDescent="0.2">
      <c r="A227" s="2">
        <v>5</v>
      </c>
      <c r="B227" s="1" t="s">
        <v>356</v>
      </c>
      <c r="C227" s="21" t="s">
        <v>357</v>
      </c>
      <c r="D227" s="21"/>
      <c r="E227" s="21"/>
      <c r="F227" s="21"/>
      <c r="G227" s="23" t="s">
        <v>274</v>
      </c>
      <c r="H227" s="23"/>
      <c r="I227" s="23"/>
      <c r="J227" s="23"/>
      <c r="K227" s="23" t="s">
        <v>275</v>
      </c>
      <c r="L227" s="23"/>
      <c r="M227" s="23"/>
      <c r="N227" s="23"/>
      <c r="O227" s="23" t="s">
        <v>174</v>
      </c>
      <c r="P227" s="23"/>
      <c r="Q227" s="23"/>
      <c r="R227" s="23"/>
      <c r="S227" s="23"/>
      <c r="T227" s="23"/>
      <c r="U227" s="23"/>
      <c r="V227" s="23"/>
      <c r="W227" s="23"/>
      <c r="X227" s="21"/>
      <c r="Y227" s="21"/>
    </row>
    <row r="228" spans="1:25" ht="26.25" customHeight="1" x14ac:dyDescent="0.2">
      <c r="A228" s="18"/>
      <c r="B228" s="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1:25" ht="26.25" customHeight="1" x14ac:dyDescent="0.2">
      <c r="A229" s="2" t="s">
        <v>195</v>
      </c>
      <c r="B229" s="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1:25" ht="28.5" customHeight="1" x14ac:dyDescent="0.2"/>
    <row r="231" spans="1:25" ht="60" customHeight="1" x14ac:dyDescent="0.2">
      <c r="A231" s="16">
        <v>22</v>
      </c>
      <c r="B231" s="17" t="s">
        <v>2</v>
      </c>
      <c r="C231" s="24" t="str">
        <f>B25</f>
        <v>seguidor</v>
      </c>
      <c r="D231" s="24"/>
      <c r="E231" s="24"/>
      <c r="F231" s="24"/>
      <c r="G231" s="25" t="s">
        <v>3</v>
      </c>
      <c r="H231" s="25"/>
      <c r="I231" s="25"/>
      <c r="J231" s="25"/>
      <c r="K231" s="26" t="str">
        <f>F25</f>
        <v>Relación que permite a un usuario seguir a otro para visualizar sus publicaciones en el feed personal.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3" t="s">
        <v>159</v>
      </c>
      <c r="Y231" s="4" t="s">
        <v>160</v>
      </c>
    </row>
    <row r="232" spans="1:25" ht="41.25" customHeight="1" x14ac:dyDescent="0.2">
      <c r="A232" s="3" t="s">
        <v>1</v>
      </c>
      <c r="B232" s="3" t="s">
        <v>161</v>
      </c>
      <c r="C232" s="25" t="s">
        <v>162</v>
      </c>
      <c r="D232" s="25"/>
      <c r="E232" s="25"/>
      <c r="F232" s="25"/>
      <c r="G232" s="25" t="s">
        <v>163</v>
      </c>
      <c r="H232" s="25"/>
      <c r="I232" s="25"/>
      <c r="J232" s="25"/>
      <c r="K232" s="25" t="s">
        <v>164</v>
      </c>
      <c r="L232" s="25"/>
      <c r="M232" s="25"/>
      <c r="N232" s="25"/>
      <c r="O232" s="25" t="s">
        <v>165</v>
      </c>
      <c r="P232" s="25"/>
      <c r="Q232" s="25"/>
      <c r="R232" s="25" t="s">
        <v>166</v>
      </c>
      <c r="S232" s="25"/>
      <c r="T232" s="25" t="s">
        <v>167</v>
      </c>
      <c r="U232" s="25"/>
      <c r="V232" s="25" t="s">
        <v>168</v>
      </c>
      <c r="W232" s="25"/>
      <c r="X232" s="25" t="s">
        <v>169</v>
      </c>
      <c r="Y232" s="25"/>
    </row>
    <row r="233" spans="1:25" ht="26.25" customHeight="1" x14ac:dyDescent="0.2">
      <c r="A233" s="2">
        <v>1</v>
      </c>
      <c r="B233" s="1" t="s">
        <v>358</v>
      </c>
      <c r="C233" s="21" t="s">
        <v>359</v>
      </c>
      <c r="D233" s="21"/>
      <c r="E233" s="21"/>
      <c r="F233" s="21"/>
      <c r="G233" s="23" t="s">
        <v>172</v>
      </c>
      <c r="H233" s="23"/>
      <c r="I233" s="23"/>
      <c r="J233" s="23"/>
      <c r="K233" s="23" t="s">
        <v>173</v>
      </c>
      <c r="L233" s="23"/>
      <c r="M233" s="23"/>
      <c r="N233" s="23"/>
      <c r="O233" s="23" t="s">
        <v>174</v>
      </c>
      <c r="P233" s="23"/>
      <c r="Q233" s="23"/>
      <c r="R233" s="23" t="s">
        <v>175</v>
      </c>
      <c r="S233" s="23"/>
      <c r="T233" s="23"/>
      <c r="U233" s="23"/>
      <c r="V233" s="23"/>
      <c r="W233" s="23"/>
      <c r="X233" s="21"/>
      <c r="Y233" s="21"/>
    </row>
    <row r="234" spans="1:25" ht="55.5" customHeight="1" x14ac:dyDescent="0.2">
      <c r="A234" s="2">
        <v>2</v>
      </c>
      <c r="B234" s="1" t="s">
        <v>360</v>
      </c>
      <c r="C234" s="21" t="s">
        <v>361</v>
      </c>
      <c r="D234" s="21"/>
      <c r="E234" s="21"/>
      <c r="F234" s="21"/>
      <c r="G234" s="23" t="s">
        <v>110</v>
      </c>
      <c r="H234" s="23"/>
      <c r="I234" s="23"/>
      <c r="J234" s="23"/>
      <c r="K234" s="23" t="s">
        <v>173</v>
      </c>
      <c r="L234" s="23"/>
      <c r="M234" s="23"/>
      <c r="N234" s="23"/>
      <c r="O234" s="23" t="s">
        <v>174</v>
      </c>
      <c r="P234" s="23"/>
      <c r="Q234" s="23"/>
      <c r="R234" s="23"/>
      <c r="S234" s="23"/>
      <c r="T234" s="23" t="s">
        <v>175</v>
      </c>
      <c r="U234" s="23"/>
      <c r="V234" s="23"/>
      <c r="W234" s="23"/>
      <c r="X234" s="21" t="s">
        <v>362</v>
      </c>
      <c r="Y234" s="21"/>
    </row>
    <row r="235" spans="1:25" ht="55.5" customHeight="1" x14ac:dyDescent="0.2">
      <c r="A235" s="2">
        <v>3</v>
      </c>
      <c r="B235" s="1" t="s">
        <v>363</v>
      </c>
      <c r="C235" s="21" t="s">
        <v>364</v>
      </c>
      <c r="D235" s="21"/>
      <c r="E235" s="21"/>
      <c r="F235" s="21"/>
      <c r="G235" s="23" t="s">
        <v>110</v>
      </c>
      <c r="H235" s="23"/>
      <c r="I235" s="23"/>
      <c r="J235" s="23"/>
      <c r="K235" s="23" t="s">
        <v>173</v>
      </c>
      <c r="L235" s="23"/>
      <c r="M235" s="23"/>
      <c r="N235" s="23"/>
      <c r="O235" s="23" t="s">
        <v>174</v>
      </c>
      <c r="P235" s="23"/>
      <c r="Q235" s="23"/>
      <c r="R235" s="23"/>
      <c r="S235" s="23"/>
      <c r="T235" s="23" t="s">
        <v>175</v>
      </c>
      <c r="U235" s="23"/>
      <c r="V235" s="23"/>
      <c r="W235" s="23"/>
      <c r="X235" s="21" t="s">
        <v>362</v>
      </c>
      <c r="Y235" s="21"/>
    </row>
    <row r="236" spans="1:25" ht="26.25" customHeight="1" x14ac:dyDescent="0.2">
      <c r="A236" s="18"/>
      <c r="B236" s="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 ht="26.25" customHeight="1" x14ac:dyDescent="0.2">
      <c r="A237" s="2" t="s">
        <v>195</v>
      </c>
      <c r="B237" s="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 ht="28.5" customHeight="1" x14ac:dyDescent="0.2"/>
    <row r="239" spans="1:25" ht="60" customHeight="1" x14ac:dyDescent="0.2">
      <c r="A239" s="16">
        <v>23</v>
      </c>
      <c r="B239" s="17" t="s">
        <v>2</v>
      </c>
      <c r="C239" s="24" t="str">
        <f>B26</f>
        <v>usuario_interes</v>
      </c>
      <c r="D239" s="24"/>
      <c r="E239" s="24"/>
      <c r="F239" s="24"/>
      <c r="G239" s="25" t="s">
        <v>3</v>
      </c>
      <c r="H239" s="25"/>
      <c r="I239" s="25"/>
      <c r="J239" s="25"/>
      <c r="K239" s="26" t="str">
        <f>F26</f>
        <v>Relaciona a cada usuario con los intereses que tiene, permitiendo registrar uno o varios intereses por usuario.</v>
      </c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3" t="s">
        <v>159</v>
      </c>
      <c r="Y239" s="4" t="s">
        <v>160</v>
      </c>
    </row>
    <row r="240" spans="1:25" ht="41.25" customHeight="1" x14ac:dyDescent="0.2">
      <c r="A240" s="3" t="s">
        <v>1</v>
      </c>
      <c r="B240" s="3" t="s">
        <v>161</v>
      </c>
      <c r="C240" s="25" t="s">
        <v>162</v>
      </c>
      <c r="D240" s="25"/>
      <c r="E240" s="25"/>
      <c r="F240" s="25"/>
      <c r="G240" s="25" t="s">
        <v>163</v>
      </c>
      <c r="H240" s="25"/>
      <c r="I240" s="25"/>
      <c r="J240" s="25"/>
      <c r="K240" s="25" t="s">
        <v>164</v>
      </c>
      <c r="L240" s="25"/>
      <c r="M240" s="25"/>
      <c r="N240" s="25"/>
      <c r="O240" s="25" t="s">
        <v>165</v>
      </c>
      <c r="P240" s="25"/>
      <c r="Q240" s="25"/>
      <c r="R240" s="25" t="s">
        <v>166</v>
      </c>
      <c r="S240" s="25"/>
      <c r="T240" s="25" t="s">
        <v>167</v>
      </c>
      <c r="U240" s="25"/>
      <c r="V240" s="25" t="s">
        <v>168</v>
      </c>
      <c r="W240" s="25"/>
      <c r="X240" s="25" t="s">
        <v>169</v>
      </c>
      <c r="Y240" s="25"/>
    </row>
    <row r="241" spans="1:25" ht="26.25" customHeight="1" x14ac:dyDescent="0.2">
      <c r="A241" s="2">
        <v>1</v>
      </c>
      <c r="B241" s="1" t="s">
        <v>365</v>
      </c>
      <c r="C241" s="21" t="s">
        <v>366</v>
      </c>
      <c r="D241" s="21"/>
      <c r="E241" s="21"/>
      <c r="F241" s="21"/>
      <c r="G241" s="23" t="s">
        <v>172</v>
      </c>
      <c r="H241" s="23"/>
      <c r="I241" s="23"/>
      <c r="J241" s="23"/>
      <c r="K241" s="23" t="s">
        <v>173</v>
      </c>
      <c r="L241" s="23"/>
      <c r="M241" s="23"/>
      <c r="N241" s="23"/>
      <c r="O241" s="23" t="s">
        <v>174</v>
      </c>
      <c r="P241" s="23"/>
      <c r="Q241" s="23"/>
      <c r="R241" s="23" t="s">
        <v>175</v>
      </c>
      <c r="S241" s="23"/>
      <c r="T241" s="23"/>
      <c r="U241" s="23"/>
      <c r="V241" s="23"/>
      <c r="W241" s="23"/>
      <c r="X241" s="21"/>
      <c r="Y241" s="21"/>
    </row>
    <row r="242" spans="1:25" ht="55.5" customHeight="1" x14ac:dyDescent="0.2">
      <c r="A242" s="2">
        <v>2</v>
      </c>
      <c r="B242" s="1" t="s">
        <v>170</v>
      </c>
      <c r="C242" s="21" t="s">
        <v>367</v>
      </c>
      <c r="D242" s="21"/>
      <c r="E242" s="21"/>
      <c r="F242" s="21"/>
      <c r="G242" s="23" t="s">
        <v>110</v>
      </c>
      <c r="H242" s="23"/>
      <c r="I242" s="23"/>
      <c r="J242" s="23"/>
      <c r="K242" s="23" t="s">
        <v>173</v>
      </c>
      <c r="L242" s="23"/>
      <c r="M242" s="23"/>
      <c r="N242" s="23"/>
      <c r="O242" s="23" t="s">
        <v>174</v>
      </c>
      <c r="P242" s="23"/>
      <c r="Q242" s="23"/>
      <c r="R242" s="23"/>
      <c r="S242" s="23"/>
      <c r="T242" s="23" t="s">
        <v>175</v>
      </c>
      <c r="U242" s="23"/>
      <c r="V242" s="23"/>
      <c r="W242" s="23"/>
      <c r="X242" s="21" t="s">
        <v>368</v>
      </c>
      <c r="Y242" s="21"/>
    </row>
    <row r="243" spans="1:25" ht="55.5" customHeight="1" x14ac:dyDescent="0.2">
      <c r="A243" s="2">
        <v>3</v>
      </c>
      <c r="B243" s="1" t="s">
        <v>220</v>
      </c>
      <c r="C243" s="21" t="s">
        <v>369</v>
      </c>
      <c r="D243" s="21"/>
      <c r="E243" s="21"/>
      <c r="F243" s="21"/>
      <c r="G243" s="23" t="s">
        <v>110</v>
      </c>
      <c r="H243" s="23"/>
      <c r="I243" s="23"/>
      <c r="J243" s="23"/>
      <c r="K243" s="23" t="s">
        <v>173</v>
      </c>
      <c r="L243" s="23"/>
      <c r="M243" s="23"/>
      <c r="N243" s="23"/>
      <c r="O243" s="23" t="s">
        <v>174</v>
      </c>
      <c r="P243" s="23"/>
      <c r="Q243" s="23"/>
      <c r="R243" s="23"/>
      <c r="S243" s="23"/>
      <c r="T243" s="23" t="s">
        <v>175</v>
      </c>
      <c r="U243" s="23"/>
      <c r="V243" s="23"/>
      <c r="W243" s="23"/>
      <c r="X243" s="21" t="s">
        <v>370</v>
      </c>
      <c r="Y243" s="21"/>
    </row>
    <row r="244" spans="1:25" ht="26.25" customHeight="1" x14ac:dyDescent="0.2">
      <c r="A244" s="18"/>
      <c r="B244" s="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 ht="26.25" customHeight="1" x14ac:dyDescent="0.2">
      <c r="A245" s="2" t="s">
        <v>195</v>
      </c>
      <c r="B245" s="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 ht="28.5" customHeight="1" x14ac:dyDescent="0.2"/>
    <row r="247" spans="1:25" ht="60" customHeight="1" x14ac:dyDescent="0.2">
      <c r="A247" s="16">
        <v>24</v>
      </c>
      <c r="B247" s="17" t="s">
        <v>2</v>
      </c>
      <c r="C247" s="24" t="str">
        <f>B27</f>
        <v>usuario_habilidad</v>
      </c>
      <c r="D247" s="24"/>
      <c r="E247" s="24"/>
      <c r="F247" s="24"/>
      <c r="G247" s="25" t="s">
        <v>3</v>
      </c>
      <c r="H247" s="25"/>
      <c r="I247" s="25"/>
      <c r="J247" s="25"/>
      <c r="K247" s="26" t="str">
        <f>F27</f>
        <v>Relaciona a cada usuario con las habilidades que posee, permitiendo registrar una o varias habilidades por usuario.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3" t="s">
        <v>159</v>
      </c>
      <c r="Y247" s="4" t="s">
        <v>160</v>
      </c>
    </row>
    <row r="248" spans="1:25" ht="41.25" customHeight="1" x14ac:dyDescent="0.2">
      <c r="A248" s="3" t="s">
        <v>1</v>
      </c>
      <c r="B248" s="3" t="s">
        <v>161</v>
      </c>
      <c r="C248" s="25" t="s">
        <v>162</v>
      </c>
      <c r="D248" s="25"/>
      <c r="E248" s="25"/>
      <c r="F248" s="25"/>
      <c r="G248" s="25" t="s">
        <v>163</v>
      </c>
      <c r="H248" s="25"/>
      <c r="I248" s="25"/>
      <c r="J248" s="25"/>
      <c r="K248" s="25" t="s">
        <v>164</v>
      </c>
      <c r="L248" s="25"/>
      <c r="M248" s="25"/>
      <c r="N248" s="25"/>
      <c r="O248" s="25" t="s">
        <v>165</v>
      </c>
      <c r="P248" s="25"/>
      <c r="Q248" s="25"/>
      <c r="R248" s="25" t="s">
        <v>166</v>
      </c>
      <c r="S248" s="25"/>
      <c r="T248" s="25" t="s">
        <v>167</v>
      </c>
      <c r="U248" s="25"/>
      <c r="V248" s="25" t="s">
        <v>168</v>
      </c>
      <c r="W248" s="25"/>
      <c r="X248" s="25" t="s">
        <v>169</v>
      </c>
      <c r="Y248" s="25"/>
    </row>
    <row r="249" spans="1:25" ht="26.25" customHeight="1" x14ac:dyDescent="0.2">
      <c r="A249" s="2">
        <v>1</v>
      </c>
      <c r="B249" s="1" t="s">
        <v>371</v>
      </c>
      <c r="C249" s="21" t="s">
        <v>372</v>
      </c>
      <c r="D249" s="21"/>
      <c r="E249" s="21"/>
      <c r="F249" s="21"/>
      <c r="G249" s="23" t="s">
        <v>172</v>
      </c>
      <c r="H249" s="23"/>
      <c r="I249" s="23"/>
      <c r="J249" s="23"/>
      <c r="K249" s="23" t="s">
        <v>173</v>
      </c>
      <c r="L249" s="23"/>
      <c r="M249" s="23"/>
      <c r="N249" s="23"/>
      <c r="O249" s="23" t="s">
        <v>174</v>
      </c>
      <c r="P249" s="23"/>
      <c r="Q249" s="23"/>
      <c r="R249" s="23" t="s">
        <v>175</v>
      </c>
      <c r="S249" s="23"/>
      <c r="T249" s="23"/>
      <c r="U249" s="23"/>
      <c r="V249" s="23"/>
      <c r="W249" s="23"/>
      <c r="X249" s="21"/>
      <c r="Y249" s="21"/>
    </row>
    <row r="250" spans="1:25" ht="55.5" customHeight="1" x14ac:dyDescent="0.2">
      <c r="A250" s="2">
        <v>2</v>
      </c>
      <c r="B250" s="1" t="s">
        <v>170</v>
      </c>
      <c r="C250" s="21" t="s">
        <v>373</v>
      </c>
      <c r="D250" s="21"/>
      <c r="E250" s="21"/>
      <c r="F250" s="21"/>
      <c r="G250" s="23" t="s">
        <v>110</v>
      </c>
      <c r="H250" s="23"/>
      <c r="I250" s="23"/>
      <c r="J250" s="23"/>
      <c r="K250" s="23" t="s">
        <v>173</v>
      </c>
      <c r="L250" s="23"/>
      <c r="M250" s="23"/>
      <c r="N250" s="23"/>
      <c r="O250" s="23" t="s">
        <v>174</v>
      </c>
      <c r="P250" s="23"/>
      <c r="Q250" s="23"/>
      <c r="R250" s="23"/>
      <c r="S250" s="23"/>
      <c r="T250" s="23" t="s">
        <v>175</v>
      </c>
      <c r="U250" s="23"/>
      <c r="V250" s="23"/>
      <c r="W250" s="23"/>
      <c r="X250" s="21" t="s">
        <v>374</v>
      </c>
      <c r="Y250" s="21"/>
    </row>
    <row r="251" spans="1:25" ht="55.5" customHeight="1" x14ac:dyDescent="0.2">
      <c r="A251" s="2">
        <v>3</v>
      </c>
      <c r="B251" s="1" t="s">
        <v>224</v>
      </c>
      <c r="C251" s="21" t="s">
        <v>375</v>
      </c>
      <c r="D251" s="21"/>
      <c r="E251" s="21"/>
      <c r="F251" s="21"/>
      <c r="G251" s="23" t="s">
        <v>110</v>
      </c>
      <c r="H251" s="23"/>
      <c r="I251" s="23"/>
      <c r="J251" s="23"/>
      <c r="K251" s="23" t="s">
        <v>173</v>
      </c>
      <c r="L251" s="23"/>
      <c r="M251" s="23"/>
      <c r="N251" s="23"/>
      <c r="O251" s="23" t="s">
        <v>174</v>
      </c>
      <c r="P251" s="23"/>
      <c r="Q251" s="23"/>
      <c r="R251" s="23"/>
      <c r="S251" s="23"/>
      <c r="T251" s="23" t="s">
        <v>175</v>
      </c>
      <c r="U251" s="23"/>
      <c r="V251" s="23"/>
      <c r="W251" s="23"/>
      <c r="X251" s="21" t="s">
        <v>376</v>
      </c>
      <c r="Y251" s="21"/>
    </row>
    <row r="252" spans="1:25" ht="26.25" customHeight="1" x14ac:dyDescent="0.2">
      <c r="A252" s="18"/>
      <c r="B252" s="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 ht="26.25" customHeight="1" x14ac:dyDescent="0.2">
      <c r="A253" s="2" t="s">
        <v>195</v>
      </c>
      <c r="B253" s="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 ht="28.5" customHeight="1" x14ac:dyDescent="0.2"/>
    <row r="255" spans="1:25" ht="60" customHeight="1" x14ac:dyDescent="0.2">
      <c r="A255" s="16">
        <v>25</v>
      </c>
      <c r="B255" s="17" t="s">
        <v>2</v>
      </c>
      <c r="C255" s="24" t="str">
        <f>B28</f>
        <v>usuario_grupo</v>
      </c>
      <c r="D255" s="24"/>
      <c r="E255" s="24"/>
      <c r="F255" s="24"/>
      <c r="G255" s="25" t="s">
        <v>3</v>
      </c>
      <c r="H255" s="25"/>
      <c r="I255" s="25"/>
      <c r="J255" s="25"/>
      <c r="K255" s="26" t="str">
        <f>F28</f>
        <v>Registra los grupos a los que pertenece cada usuario, permitiendo que un grupo tenga varios miembros y un usuario participe en varios grupos.</v>
      </c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3" t="s">
        <v>159</v>
      </c>
      <c r="Y255" s="4" t="s">
        <v>160</v>
      </c>
    </row>
    <row r="256" spans="1:25" ht="41.25" customHeight="1" x14ac:dyDescent="0.2">
      <c r="A256" s="3" t="s">
        <v>1</v>
      </c>
      <c r="B256" s="3" t="s">
        <v>161</v>
      </c>
      <c r="C256" s="25" t="s">
        <v>162</v>
      </c>
      <c r="D256" s="25"/>
      <c r="E256" s="25"/>
      <c r="F256" s="25"/>
      <c r="G256" s="25" t="s">
        <v>163</v>
      </c>
      <c r="H256" s="25"/>
      <c r="I256" s="25"/>
      <c r="J256" s="25"/>
      <c r="K256" s="25" t="s">
        <v>164</v>
      </c>
      <c r="L256" s="25"/>
      <c r="M256" s="25"/>
      <c r="N256" s="25"/>
      <c r="O256" s="25" t="s">
        <v>165</v>
      </c>
      <c r="P256" s="25"/>
      <c r="Q256" s="25"/>
      <c r="R256" s="25" t="s">
        <v>166</v>
      </c>
      <c r="S256" s="25"/>
      <c r="T256" s="25" t="s">
        <v>167</v>
      </c>
      <c r="U256" s="25"/>
      <c r="V256" s="25" t="s">
        <v>168</v>
      </c>
      <c r="W256" s="25"/>
      <c r="X256" s="25" t="s">
        <v>169</v>
      </c>
      <c r="Y256" s="25"/>
    </row>
    <row r="257" spans="1:25" ht="39.75" customHeight="1" x14ac:dyDescent="0.2">
      <c r="A257" s="2">
        <v>1</v>
      </c>
      <c r="B257" s="1" t="s">
        <v>377</v>
      </c>
      <c r="C257" s="21" t="s">
        <v>378</v>
      </c>
      <c r="D257" s="21"/>
      <c r="E257" s="21"/>
      <c r="F257" s="21"/>
      <c r="G257" s="23" t="s">
        <v>172</v>
      </c>
      <c r="H257" s="23"/>
      <c r="I257" s="23"/>
      <c r="J257" s="23"/>
      <c r="K257" s="23" t="s">
        <v>173</v>
      </c>
      <c r="L257" s="23"/>
      <c r="M257" s="23"/>
      <c r="N257" s="23"/>
      <c r="O257" s="23" t="s">
        <v>174</v>
      </c>
      <c r="P257" s="23"/>
      <c r="Q257" s="23"/>
      <c r="R257" s="23" t="s">
        <v>175</v>
      </c>
      <c r="S257" s="23"/>
      <c r="T257" s="23"/>
      <c r="U257" s="23"/>
      <c r="V257" s="23"/>
      <c r="W257" s="23"/>
      <c r="X257" s="21"/>
      <c r="Y257" s="21"/>
    </row>
    <row r="258" spans="1:25" ht="55.5" customHeight="1" x14ac:dyDescent="0.2">
      <c r="A258" s="2">
        <v>2</v>
      </c>
      <c r="B258" s="1" t="s">
        <v>170</v>
      </c>
      <c r="C258" s="21" t="s">
        <v>379</v>
      </c>
      <c r="D258" s="21"/>
      <c r="E258" s="21"/>
      <c r="F258" s="21"/>
      <c r="G258" s="23" t="s">
        <v>110</v>
      </c>
      <c r="H258" s="23"/>
      <c r="I258" s="23"/>
      <c r="J258" s="23"/>
      <c r="K258" s="23" t="s">
        <v>173</v>
      </c>
      <c r="L258" s="23"/>
      <c r="M258" s="23"/>
      <c r="N258" s="23"/>
      <c r="O258" s="23" t="s">
        <v>174</v>
      </c>
      <c r="P258" s="23"/>
      <c r="Q258" s="23"/>
      <c r="R258" s="23"/>
      <c r="S258" s="23"/>
      <c r="T258" s="23" t="s">
        <v>175</v>
      </c>
      <c r="U258" s="23"/>
      <c r="V258" s="23"/>
      <c r="W258" s="23"/>
      <c r="X258" s="21" t="s">
        <v>380</v>
      </c>
      <c r="Y258" s="21"/>
    </row>
    <row r="259" spans="1:25" ht="55.5" customHeight="1" x14ac:dyDescent="0.2">
      <c r="A259" s="2">
        <v>3</v>
      </c>
      <c r="B259" s="1" t="s">
        <v>256</v>
      </c>
      <c r="C259" s="21" t="s">
        <v>381</v>
      </c>
      <c r="D259" s="21"/>
      <c r="E259" s="21"/>
      <c r="F259" s="21"/>
      <c r="G259" s="23" t="s">
        <v>110</v>
      </c>
      <c r="H259" s="23"/>
      <c r="I259" s="23"/>
      <c r="J259" s="23"/>
      <c r="K259" s="23" t="s">
        <v>173</v>
      </c>
      <c r="L259" s="23"/>
      <c r="M259" s="23"/>
      <c r="N259" s="23"/>
      <c r="O259" s="23" t="s">
        <v>174</v>
      </c>
      <c r="P259" s="23"/>
      <c r="Q259" s="23"/>
      <c r="R259" s="23"/>
      <c r="S259" s="23"/>
      <c r="T259" s="23" t="s">
        <v>175</v>
      </c>
      <c r="U259" s="23"/>
      <c r="V259" s="23"/>
      <c r="W259" s="23"/>
      <c r="X259" s="21" t="s">
        <v>382</v>
      </c>
      <c r="Y259" s="21"/>
    </row>
    <row r="260" spans="1:25" ht="26.25" customHeight="1" x14ac:dyDescent="0.2">
      <c r="A260" s="18"/>
      <c r="B260" s="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 ht="26.25" customHeight="1" x14ac:dyDescent="0.2">
      <c r="A261" s="2" t="s">
        <v>195</v>
      </c>
      <c r="B261" s="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 ht="28.5" customHeight="1" x14ac:dyDescent="0.2"/>
    <row r="263" spans="1:25" ht="60" customHeight="1" x14ac:dyDescent="0.2">
      <c r="A263" s="16">
        <v>26</v>
      </c>
      <c r="B263" s="17" t="s">
        <v>2</v>
      </c>
      <c r="C263" s="24" t="str">
        <f>B29</f>
        <v>usuario_evento</v>
      </c>
      <c r="D263" s="24"/>
      <c r="E263" s="24"/>
      <c r="F263" s="24"/>
      <c r="G263" s="25" t="s">
        <v>3</v>
      </c>
      <c r="H263" s="25"/>
      <c r="I263" s="25"/>
      <c r="J263" s="25"/>
      <c r="K263" s="26" t="str">
        <f>F29</f>
        <v>Registra la participación de los usuarios en los eventos, permitiendo que un evento tenga varios asistentes y un usuario asista a varios eventos.</v>
      </c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3" t="s">
        <v>159</v>
      </c>
      <c r="Y263" s="4" t="s">
        <v>160</v>
      </c>
    </row>
    <row r="264" spans="1:25" ht="41.25" customHeight="1" x14ac:dyDescent="0.2">
      <c r="A264" s="3" t="s">
        <v>1</v>
      </c>
      <c r="B264" s="3" t="s">
        <v>161</v>
      </c>
      <c r="C264" s="25" t="s">
        <v>162</v>
      </c>
      <c r="D264" s="25"/>
      <c r="E264" s="25"/>
      <c r="F264" s="25"/>
      <c r="G264" s="25" t="s">
        <v>163</v>
      </c>
      <c r="H264" s="25"/>
      <c r="I264" s="25"/>
      <c r="J264" s="25"/>
      <c r="K264" s="25" t="s">
        <v>164</v>
      </c>
      <c r="L264" s="25"/>
      <c r="M264" s="25"/>
      <c r="N264" s="25"/>
      <c r="O264" s="25" t="s">
        <v>165</v>
      </c>
      <c r="P264" s="25"/>
      <c r="Q264" s="25"/>
      <c r="R264" s="25" t="s">
        <v>166</v>
      </c>
      <c r="S264" s="25"/>
      <c r="T264" s="25" t="s">
        <v>167</v>
      </c>
      <c r="U264" s="25"/>
      <c r="V264" s="25" t="s">
        <v>168</v>
      </c>
      <c r="W264" s="25"/>
      <c r="X264" s="25" t="s">
        <v>169</v>
      </c>
      <c r="Y264" s="25"/>
    </row>
    <row r="265" spans="1:25" ht="39.75" customHeight="1" x14ac:dyDescent="0.2">
      <c r="A265" s="2">
        <v>1</v>
      </c>
      <c r="B265" s="1" t="s">
        <v>383</v>
      </c>
      <c r="C265" s="21" t="s">
        <v>384</v>
      </c>
      <c r="D265" s="21"/>
      <c r="E265" s="21"/>
      <c r="F265" s="21"/>
      <c r="G265" s="23" t="s">
        <v>172</v>
      </c>
      <c r="H265" s="23"/>
      <c r="I265" s="23"/>
      <c r="J265" s="23"/>
      <c r="K265" s="23" t="s">
        <v>173</v>
      </c>
      <c r="L265" s="23"/>
      <c r="M265" s="23"/>
      <c r="N265" s="23"/>
      <c r="O265" s="23" t="s">
        <v>174</v>
      </c>
      <c r="P265" s="23"/>
      <c r="Q265" s="23"/>
      <c r="R265" s="23" t="s">
        <v>175</v>
      </c>
      <c r="S265" s="23"/>
      <c r="T265" s="23"/>
      <c r="U265" s="23"/>
      <c r="V265" s="23"/>
      <c r="W265" s="23"/>
      <c r="X265" s="21"/>
      <c r="Y265" s="21"/>
    </row>
    <row r="266" spans="1:25" ht="55.5" customHeight="1" x14ac:dyDescent="0.2">
      <c r="A266" s="2">
        <v>2</v>
      </c>
      <c r="B266" s="1" t="s">
        <v>170</v>
      </c>
      <c r="C266" s="21" t="s">
        <v>385</v>
      </c>
      <c r="D266" s="21"/>
      <c r="E266" s="21"/>
      <c r="F266" s="21"/>
      <c r="G266" s="23" t="s">
        <v>110</v>
      </c>
      <c r="H266" s="23"/>
      <c r="I266" s="23"/>
      <c r="J266" s="23"/>
      <c r="K266" s="23" t="s">
        <v>173</v>
      </c>
      <c r="L266" s="23"/>
      <c r="M266" s="23"/>
      <c r="N266" s="23"/>
      <c r="O266" s="23" t="s">
        <v>174</v>
      </c>
      <c r="P266" s="23"/>
      <c r="Q266" s="23"/>
      <c r="R266" s="23"/>
      <c r="S266" s="23"/>
      <c r="T266" s="23" t="s">
        <v>175</v>
      </c>
      <c r="U266" s="23"/>
      <c r="V266" s="23"/>
      <c r="W266" s="23"/>
      <c r="X266" s="21" t="s">
        <v>386</v>
      </c>
      <c r="Y266" s="21"/>
    </row>
    <row r="267" spans="1:25" ht="55.5" customHeight="1" x14ac:dyDescent="0.2">
      <c r="A267" s="2">
        <v>3</v>
      </c>
      <c r="B267" s="1" t="s">
        <v>290</v>
      </c>
      <c r="C267" s="21" t="s">
        <v>387</v>
      </c>
      <c r="D267" s="21"/>
      <c r="E267" s="21"/>
      <c r="F267" s="21"/>
      <c r="G267" s="23" t="s">
        <v>110</v>
      </c>
      <c r="H267" s="23"/>
      <c r="I267" s="23"/>
      <c r="J267" s="23"/>
      <c r="K267" s="23" t="s">
        <v>173</v>
      </c>
      <c r="L267" s="23"/>
      <c r="M267" s="23"/>
      <c r="N267" s="23"/>
      <c r="O267" s="23" t="s">
        <v>174</v>
      </c>
      <c r="P267" s="23"/>
      <c r="Q267" s="23"/>
      <c r="R267" s="23"/>
      <c r="S267" s="23"/>
      <c r="T267" s="23" t="s">
        <v>175</v>
      </c>
      <c r="U267" s="23"/>
      <c r="V267" s="23"/>
      <c r="W267" s="23"/>
      <c r="X267" s="21" t="s">
        <v>388</v>
      </c>
      <c r="Y267" s="21"/>
    </row>
    <row r="268" spans="1:25" ht="26.25" customHeight="1" x14ac:dyDescent="0.2">
      <c r="A268" s="18"/>
      <c r="B268" s="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 ht="26.25" customHeight="1" x14ac:dyDescent="0.2">
      <c r="A269" s="2" t="s">
        <v>195</v>
      </c>
      <c r="B269" s="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1:25" ht="28.5" customHeight="1" x14ac:dyDescent="0.2"/>
    <row r="271" spans="1:25" ht="60" customHeight="1" x14ac:dyDescent="0.2">
      <c r="A271" s="16">
        <v>27</v>
      </c>
      <c r="B271" s="17" t="s">
        <v>2</v>
      </c>
      <c r="C271" s="24" t="str">
        <f>B30</f>
        <v>publicacion_etiqueta</v>
      </c>
      <c r="D271" s="24"/>
      <c r="E271" s="24"/>
      <c r="F271" s="24"/>
      <c r="G271" s="25" t="s">
        <v>3</v>
      </c>
      <c r="H271" s="25"/>
      <c r="I271" s="25"/>
      <c r="J271" s="25"/>
      <c r="K271" s="26" t="str">
        <f>F30</f>
        <v>Relaciona las publicaciones con sus etiquetas temáticas, permitiendo asignar una o varias etiquetas a cada publicación.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3" t="s">
        <v>159</v>
      </c>
      <c r="Y271" s="4" t="s">
        <v>160</v>
      </c>
    </row>
    <row r="272" spans="1:25" ht="41.25" customHeight="1" x14ac:dyDescent="0.2">
      <c r="A272" s="3" t="s">
        <v>1</v>
      </c>
      <c r="B272" s="3" t="s">
        <v>161</v>
      </c>
      <c r="C272" s="25" t="s">
        <v>162</v>
      </c>
      <c r="D272" s="25"/>
      <c r="E272" s="25"/>
      <c r="F272" s="25"/>
      <c r="G272" s="25" t="s">
        <v>163</v>
      </c>
      <c r="H272" s="25"/>
      <c r="I272" s="25"/>
      <c r="J272" s="25"/>
      <c r="K272" s="25" t="s">
        <v>164</v>
      </c>
      <c r="L272" s="25"/>
      <c r="M272" s="25"/>
      <c r="N272" s="25"/>
      <c r="O272" s="25" t="s">
        <v>165</v>
      </c>
      <c r="P272" s="25"/>
      <c r="Q272" s="25"/>
      <c r="R272" s="25" t="s">
        <v>166</v>
      </c>
      <c r="S272" s="25"/>
      <c r="T272" s="25" t="s">
        <v>167</v>
      </c>
      <c r="U272" s="25"/>
      <c r="V272" s="25" t="s">
        <v>168</v>
      </c>
      <c r="W272" s="25"/>
      <c r="X272" s="25" t="s">
        <v>169</v>
      </c>
      <c r="Y272" s="25"/>
    </row>
    <row r="273" spans="1:25" ht="39.75" customHeight="1" x14ac:dyDescent="0.2">
      <c r="A273" s="2">
        <v>1</v>
      </c>
      <c r="B273" s="1" t="s">
        <v>389</v>
      </c>
      <c r="C273" s="21" t="s">
        <v>390</v>
      </c>
      <c r="D273" s="21"/>
      <c r="E273" s="21"/>
      <c r="F273" s="21"/>
      <c r="G273" s="23" t="s">
        <v>172</v>
      </c>
      <c r="H273" s="23"/>
      <c r="I273" s="23"/>
      <c r="J273" s="23"/>
      <c r="K273" s="23" t="s">
        <v>173</v>
      </c>
      <c r="L273" s="23"/>
      <c r="M273" s="23"/>
      <c r="N273" s="23"/>
      <c r="O273" s="23" t="s">
        <v>174</v>
      </c>
      <c r="P273" s="23"/>
      <c r="Q273" s="23"/>
      <c r="R273" s="23" t="s">
        <v>175</v>
      </c>
      <c r="S273" s="23"/>
      <c r="T273" s="23"/>
      <c r="U273" s="23"/>
      <c r="V273" s="23"/>
      <c r="W273" s="23"/>
      <c r="X273" s="21"/>
      <c r="Y273" s="21"/>
    </row>
    <row r="274" spans="1:25" ht="55.5" customHeight="1" x14ac:dyDescent="0.2">
      <c r="A274" s="2">
        <v>2</v>
      </c>
      <c r="B274" s="1" t="s">
        <v>228</v>
      </c>
      <c r="C274" s="21" t="s">
        <v>391</v>
      </c>
      <c r="D274" s="21"/>
      <c r="E274" s="21"/>
      <c r="F274" s="21"/>
      <c r="G274" s="23" t="s">
        <v>110</v>
      </c>
      <c r="H274" s="23"/>
      <c r="I274" s="23"/>
      <c r="J274" s="23"/>
      <c r="K274" s="23" t="s">
        <v>173</v>
      </c>
      <c r="L274" s="23"/>
      <c r="M274" s="23"/>
      <c r="N274" s="23"/>
      <c r="O274" s="23" t="s">
        <v>174</v>
      </c>
      <c r="P274" s="23"/>
      <c r="Q274" s="23"/>
      <c r="R274" s="23"/>
      <c r="S274" s="23"/>
      <c r="T274" s="23" t="s">
        <v>175</v>
      </c>
      <c r="U274" s="23"/>
      <c r="V274" s="23"/>
      <c r="W274" s="23"/>
      <c r="X274" s="21" t="s">
        <v>392</v>
      </c>
      <c r="Y274" s="21"/>
    </row>
    <row r="275" spans="1:25" ht="55.5" customHeight="1" x14ac:dyDescent="0.2">
      <c r="A275" s="2">
        <v>3</v>
      </c>
      <c r="B275" s="1" t="s">
        <v>303</v>
      </c>
      <c r="C275" s="21" t="s">
        <v>393</v>
      </c>
      <c r="D275" s="21"/>
      <c r="E275" s="21"/>
      <c r="F275" s="21"/>
      <c r="G275" s="23" t="s">
        <v>110</v>
      </c>
      <c r="H275" s="23"/>
      <c r="I275" s="23"/>
      <c r="J275" s="23"/>
      <c r="K275" s="23" t="s">
        <v>173</v>
      </c>
      <c r="L275" s="23"/>
      <c r="M275" s="23"/>
      <c r="N275" s="23"/>
      <c r="O275" s="23" t="s">
        <v>174</v>
      </c>
      <c r="P275" s="23"/>
      <c r="Q275" s="23"/>
      <c r="R275" s="23"/>
      <c r="S275" s="23"/>
      <c r="T275" s="23" t="s">
        <v>175</v>
      </c>
      <c r="U275" s="23"/>
      <c r="V275" s="23"/>
      <c r="W275" s="23"/>
      <c r="X275" s="21" t="s">
        <v>394</v>
      </c>
      <c r="Y275" s="21"/>
    </row>
    <row r="276" spans="1:25" ht="26.25" customHeight="1" x14ac:dyDescent="0.2">
      <c r="A276" s="18"/>
      <c r="B276" s="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ht="26.25" customHeight="1" x14ac:dyDescent="0.2">
      <c r="A277" s="2" t="s">
        <v>195</v>
      </c>
      <c r="B277" s="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 ht="28.5" customHeight="1" x14ac:dyDescent="0.2"/>
    <row r="279" spans="1:25" ht="60" customHeight="1" x14ac:dyDescent="0.2">
      <c r="A279" s="16">
        <v>28</v>
      </c>
      <c r="B279" s="17" t="s">
        <v>2</v>
      </c>
      <c r="C279" s="24" t="str">
        <f>B31</f>
        <v>chat_usuario</v>
      </c>
      <c r="D279" s="24"/>
      <c r="E279" s="24"/>
      <c r="F279" s="24"/>
      <c r="G279" s="25" t="s">
        <v>3</v>
      </c>
      <c r="H279" s="25"/>
      <c r="I279" s="25"/>
      <c r="J279" s="25"/>
      <c r="K279" s="26" t="str">
        <f>F31</f>
        <v>Registra los usuarios que participan en cada chat, permitiendo conversaciones con varios participantes.</v>
      </c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3" t="s">
        <v>159</v>
      </c>
      <c r="Y279" s="4" t="s">
        <v>160</v>
      </c>
    </row>
    <row r="280" spans="1:25" ht="41.25" customHeight="1" x14ac:dyDescent="0.2">
      <c r="A280" s="3" t="s">
        <v>1</v>
      </c>
      <c r="B280" s="3" t="s">
        <v>161</v>
      </c>
      <c r="C280" s="25" t="s">
        <v>162</v>
      </c>
      <c r="D280" s="25"/>
      <c r="E280" s="25"/>
      <c r="F280" s="25"/>
      <c r="G280" s="25" t="s">
        <v>163</v>
      </c>
      <c r="H280" s="25"/>
      <c r="I280" s="25"/>
      <c r="J280" s="25"/>
      <c r="K280" s="25" t="s">
        <v>164</v>
      </c>
      <c r="L280" s="25"/>
      <c r="M280" s="25"/>
      <c r="N280" s="25"/>
      <c r="O280" s="25" t="s">
        <v>165</v>
      </c>
      <c r="P280" s="25"/>
      <c r="Q280" s="25"/>
      <c r="R280" s="25" t="s">
        <v>166</v>
      </c>
      <c r="S280" s="25"/>
      <c r="T280" s="25" t="s">
        <v>167</v>
      </c>
      <c r="U280" s="25"/>
      <c r="V280" s="25" t="s">
        <v>168</v>
      </c>
      <c r="W280" s="25"/>
      <c r="X280" s="25" t="s">
        <v>169</v>
      </c>
      <c r="Y280" s="25"/>
    </row>
    <row r="281" spans="1:25" ht="39.75" customHeight="1" x14ac:dyDescent="0.2">
      <c r="A281" s="2">
        <v>1</v>
      </c>
      <c r="B281" s="1" t="s">
        <v>395</v>
      </c>
      <c r="C281" s="21" t="s">
        <v>396</v>
      </c>
      <c r="D281" s="21"/>
      <c r="E281" s="21"/>
      <c r="F281" s="21"/>
      <c r="G281" s="23" t="s">
        <v>172</v>
      </c>
      <c r="H281" s="23"/>
      <c r="I281" s="23"/>
      <c r="J281" s="23"/>
      <c r="K281" s="23" t="s">
        <v>173</v>
      </c>
      <c r="L281" s="23"/>
      <c r="M281" s="23"/>
      <c r="N281" s="23"/>
      <c r="O281" s="23" t="s">
        <v>174</v>
      </c>
      <c r="P281" s="23"/>
      <c r="Q281" s="23"/>
      <c r="R281" s="23" t="s">
        <v>175</v>
      </c>
      <c r="S281" s="23"/>
      <c r="T281" s="23"/>
      <c r="U281" s="23"/>
      <c r="V281" s="23"/>
      <c r="W281" s="23"/>
      <c r="X281" s="21"/>
      <c r="Y281" s="21"/>
    </row>
    <row r="282" spans="1:25" ht="55.5" customHeight="1" x14ac:dyDescent="0.2">
      <c r="A282" s="2">
        <v>2</v>
      </c>
      <c r="B282" s="1" t="s">
        <v>307</v>
      </c>
      <c r="C282" s="21" t="s">
        <v>397</v>
      </c>
      <c r="D282" s="21"/>
      <c r="E282" s="21"/>
      <c r="F282" s="21"/>
      <c r="G282" s="23" t="s">
        <v>110</v>
      </c>
      <c r="H282" s="23"/>
      <c r="I282" s="23"/>
      <c r="J282" s="23"/>
      <c r="K282" s="23" t="s">
        <v>173</v>
      </c>
      <c r="L282" s="23"/>
      <c r="M282" s="23"/>
      <c r="N282" s="23"/>
      <c r="O282" s="23" t="s">
        <v>174</v>
      </c>
      <c r="P282" s="23"/>
      <c r="Q282" s="23"/>
      <c r="R282" s="23"/>
      <c r="S282" s="23"/>
      <c r="T282" s="23" t="s">
        <v>175</v>
      </c>
      <c r="U282" s="23"/>
      <c r="V282" s="23"/>
      <c r="W282" s="23"/>
      <c r="X282" s="21" t="s">
        <v>398</v>
      </c>
      <c r="Y282" s="21"/>
    </row>
    <row r="283" spans="1:25" ht="55.5" customHeight="1" x14ac:dyDescent="0.2">
      <c r="A283" s="2">
        <v>3</v>
      </c>
      <c r="B283" s="1" t="s">
        <v>170</v>
      </c>
      <c r="C283" s="21" t="s">
        <v>399</v>
      </c>
      <c r="D283" s="21"/>
      <c r="E283" s="21"/>
      <c r="F283" s="21"/>
      <c r="G283" s="23" t="s">
        <v>110</v>
      </c>
      <c r="H283" s="23"/>
      <c r="I283" s="23"/>
      <c r="J283" s="23"/>
      <c r="K283" s="23" t="s">
        <v>173</v>
      </c>
      <c r="L283" s="23"/>
      <c r="M283" s="23"/>
      <c r="N283" s="23"/>
      <c r="O283" s="23" t="s">
        <v>174</v>
      </c>
      <c r="P283" s="23"/>
      <c r="Q283" s="23"/>
      <c r="R283" s="23"/>
      <c r="S283" s="23"/>
      <c r="T283" s="23" t="s">
        <v>175</v>
      </c>
      <c r="U283" s="23"/>
      <c r="V283" s="23"/>
      <c r="W283" s="23"/>
      <c r="X283" s="21" t="s">
        <v>400</v>
      </c>
      <c r="Y283" s="21"/>
    </row>
    <row r="284" spans="1:25" ht="26.25" customHeight="1" x14ac:dyDescent="0.2">
      <c r="A284" s="18"/>
      <c r="B284" s="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 ht="26.25" customHeight="1" x14ac:dyDescent="0.2">
      <c r="A285" s="2" t="s">
        <v>195</v>
      </c>
      <c r="B285" s="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 ht="28.5" customHeight="1" x14ac:dyDescent="0.2"/>
    <row r="287" spans="1:25" ht="43.5" customHeight="1" x14ac:dyDescent="0.2">
      <c r="A287" s="16">
        <v>29</v>
      </c>
      <c r="B287" s="17" t="s">
        <v>2</v>
      </c>
      <c r="C287" s="24" t="str">
        <f>B32</f>
        <v>venta_producto</v>
      </c>
      <c r="D287" s="24"/>
      <c r="E287" s="24"/>
      <c r="F287" s="24"/>
      <c r="G287" s="25" t="s">
        <v>3</v>
      </c>
      <c r="H287" s="25"/>
      <c r="I287" s="25"/>
      <c r="J287" s="25"/>
      <c r="K287" s="26" t="str">
        <f>F32</f>
        <v>Detalle de los productos incluidos en cada venta, con la cantidad y el precio unitario acordados.</v>
      </c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3" t="s">
        <v>159</v>
      </c>
      <c r="Y287" s="4" t="s">
        <v>160</v>
      </c>
    </row>
    <row r="288" spans="1:25" ht="41.25" customHeight="1" x14ac:dyDescent="0.2">
      <c r="A288" s="3" t="s">
        <v>1</v>
      </c>
      <c r="B288" s="3" t="s">
        <v>161</v>
      </c>
      <c r="C288" s="25" t="s">
        <v>162</v>
      </c>
      <c r="D288" s="25"/>
      <c r="E288" s="25"/>
      <c r="F288" s="25"/>
      <c r="G288" s="25" t="s">
        <v>163</v>
      </c>
      <c r="H288" s="25"/>
      <c r="I288" s="25"/>
      <c r="J288" s="25"/>
      <c r="K288" s="25" t="s">
        <v>164</v>
      </c>
      <c r="L288" s="25"/>
      <c r="M288" s="25"/>
      <c r="N288" s="25"/>
      <c r="O288" s="25" t="s">
        <v>165</v>
      </c>
      <c r="P288" s="25"/>
      <c r="Q288" s="25"/>
      <c r="R288" s="25" t="s">
        <v>166</v>
      </c>
      <c r="S288" s="25"/>
      <c r="T288" s="25" t="s">
        <v>167</v>
      </c>
      <c r="U288" s="25"/>
      <c r="V288" s="25" t="s">
        <v>168</v>
      </c>
      <c r="W288" s="25"/>
      <c r="X288" s="25" t="s">
        <v>169</v>
      </c>
      <c r="Y288" s="25"/>
    </row>
    <row r="289" spans="1:25" ht="39.75" customHeight="1" x14ac:dyDescent="0.2">
      <c r="A289" s="2">
        <v>1</v>
      </c>
      <c r="B289" s="1" t="s">
        <v>401</v>
      </c>
      <c r="C289" s="21" t="s">
        <v>402</v>
      </c>
      <c r="D289" s="21"/>
      <c r="E289" s="21"/>
      <c r="F289" s="21"/>
      <c r="G289" s="23" t="s">
        <v>172</v>
      </c>
      <c r="H289" s="23"/>
      <c r="I289" s="23"/>
      <c r="J289" s="23"/>
      <c r="K289" s="23" t="s">
        <v>173</v>
      </c>
      <c r="L289" s="23"/>
      <c r="M289" s="23"/>
      <c r="N289" s="23"/>
      <c r="O289" s="23" t="s">
        <v>174</v>
      </c>
      <c r="P289" s="23"/>
      <c r="Q289" s="23"/>
      <c r="R289" s="23" t="s">
        <v>175</v>
      </c>
      <c r="S289" s="23"/>
      <c r="T289" s="23"/>
      <c r="U289" s="23"/>
      <c r="V289" s="23"/>
      <c r="W289" s="23"/>
      <c r="X289" s="21"/>
      <c r="Y289" s="21"/>
    </row>
    <row r="290" spans="1:25" ht="55.5" customHeight="1" x14ac:dyDescent="0.2">
      <c r="A290" s="2">
        <v>2</v>
      </c>
      <c r="B290" s="1" t="s">
        <v>348</v>
      </c>
      <c r="C290" s="21" t="s">
        <v>403</v>
      </c>
      <c r="D290" s="21"/>
      <c r="E290" s="21"/>
      <c r="F290" s="21"/>
      <c r="G290" s="23" t="s">
        <v>110</v>
      </c>
      <c r="H290" s="23"/>
      <c r="I290" s="23"/>
      <c r="J290" s="23"/>
      <c r="K290" s="23" t="s">
        <v>173</v>
      </c>
      <c r="L290" s="23"/>
      <c r="M290" s="23"/>
      <c r="N290" s="23"/>
      <c r="O290" s="23" t="s">
        <v>174</v>
      </c>
      <c r="P290" s="23"/>
      <c r="Q290" s="23"/>
      <c r="R290" s="23"/>
      <c r="S290" s="23"/>
      <c r="T290" s="23" t="s">
        <v>175</v>
      </c>
      <c r="U290" s="23"/>
      <c r="V290" s="23"/>
      <c r="W290" s="23"/>
      <c r="X290" s="21" t="s">
        <v>404</v>
      </c>
      <c r="Y290" s="21"/>
    </row>
    <row r="291" spans="1:25" ht="55.5" customHeight="1" x14ac:dyDescent="0.2">
      <c r="A291" s="2">
        <v>3</v>
      </c>
      <c r="B291" s="1" t="s">
        <v>280</v>
      </c>
      <c r="C291" s="21" t="s">
        <v>405</v>
      </c>
      <c r="D291" s="21"/>
      <c r="E291" s="21"/>
      <c r="F291" s="21"/>
      <c r="G291" s="23" t="s">
        <v>110</v>
      </c>
      <c r="H291" s="23"/>
      <c r="I291" s="23"/>
      <c r="J291" s="23"/>
      <c r="K291" s="23" t="s">
        <v>173</v>
      </c>
      <c r="L291" s="23"/>
      <c r="M291" s="23"/>
      <c r="N291" s="23"/>
      <c r="O291" s="23" t="s">
        <v>174</v>
      </c>
      <c r="P291" s="23"/>
      <c r="Q291" s="23"/>
      <c r="R291" s="23"/>
      <c r="S291" s="23"/>
      <c r="T291" s="23" t="s">
        <v>175</v>
      </c>
      <c r="U291" s="23"/>
      <c r="V291" s="23"/>
      <c r="W291" s="23"/>
      <c r="X291" s="21" t="s">
        <v>406</v>
      </c>
      <c r="Y291" s="21"/>
    </row>
    <row r="292" spans="1:25" ht="39.75" customHeight="1" x14ac:dyDescent="0.2">
      <c r="A292" s="2">
        <v>4</v>
      </c>
      <c r="B292" s="1" t="s">
        <v>407</v>
      </c>
      <c r="C292" s="21" t="s">
        <v>408</v>
      </c>
      <c r="D292" s="21"/>
      <c r="E292" s="21"/>
      <c r="F292" s="21"/>
      <c r="G292" s="23" t="s">
        <v>110</v>
      </c>
      <c r="H292" s="23"/>
      <c r="I292" s="23"/>
      <c r="J292" s="23"/>
      <c r="K292" s="23" t="s">
        <v>173</v>
      </c>
      <c r="L292" s="23"/>
      <c r="M292" s="23"/>
      <c r="N292" s="23"/>
      <c r="O292" s="23" t="s">
        <v>174</v>
      </c>
      <c r="P292" s="23"/>
      <c r="Q292" s="23"/>
      <c r="R292" s="23"/>
      <c r="S292" s="23"/>
      <c r="T292" s="23"/>
      <c r="U292" s="23"/>
      <c r="V292" s="23"/>
      <c r="W292" s="23"/>
      <c r="X292" s="21"/>
      <c r="Y292" s="21"/>
    </row>
    <row r="293" spans="1:25" ht="39.75" customHeight="1" x14ac:dyDescent="0.2">
      <c r="A293" s="2">
        <v>5</v>
      </c>
      <c r="B293" s="1" t="s">
        <v>409</v>
      </c>
      <c r="C293" s="21" t="s">
        <v>410</v>
      </c>
      <c r="D293" s="21"/>
      <c r="E293" s="21"/>
      <c r="F293" s="21"/>
      <c r="G293" s="23" t="s">
        <v>274</v>
      </c>
      <c r="H293" s="23"/>
      <c r="I293" s="23"/>
      <c r="J293" s="23"/>
      <c r="K293" s="23" t="s">
        <v>275</v>
      </c>
      <c r="L293" s="23"/>
      <c r="M293" s="23"/>
      <c r="N293" s="23"/>
      <c r="O293" s="23" t="s">
        <v>174</v>
      </c>
      <c r="P293" s="23"/>
      <c r="Q293" s="23"/>
      <c r="R293" s="23"/>
      <c r="S293" s="23"/>
      <c r="T293" s="23"/>
      <c r="U293" s="23"/>
      <c r="V293" s="23"/>
      <c r="W293" s="23"/>
      <c r="X293" s="21"/>
      <c r="Y293" s="21"/>
    </row>
    <row r="294" spans="1:25" ht="26.25" customHeight="1" x14ac:dyDescent="0.2">
      <c r="A294" s="18"/>
      <c r="B294" s="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 ht="26.25" customHeight="1" x14ac:dyDescent="0.2">
      <c r="A295" s="2" t="s">
        <v>195</v>
      </c>
      <c r="B295" s="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1:25" ht="28.5" customHeight="1" x14ac:dyDescent="0.2"/>
    <row r="297" spans="1:25" ht="43.5" customHeight="1" x14ac:dyDescent="0.2">
      <c r="A297" s="16">
        <v>30</v>
      </c>
      <c r="B297" s="17" t="s">
        <v>2</v>
      </c>
      <c r="C297" s="24" t="str">
        <f>B33</f>
        <v>venta_servicio</v>
      </c>
      <c r="D297" s="24"/>
      <c r="E297" s="24"/>
      <c r="F297" s="24"/>
      <c r="G297" s="25" t="s">
        <v>3</v>
      </c>
      <c r="H297" s="25"/>
      <c r="I297" s="25"/>
      <c r="J297" s="25"/>
      <c r="K297" s="26" t="str">
        <f>F33</f>
        <v>Detalle de los servicios incluidos en cada venta, con el precio acordado.</v>
      </c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3" t="s">
        <v>159</v>
      </c>
      <c r="Y297" s="4" t="s">
        <v>160</v>
      </c>
    </row>
    <row r="298" spans="1:25" ht="41.25" customHeight="1" x14ac:dyDescent="0.2">
      <c r="A298" s="3" t="s">
        <v>1</v>
      </c>
      <c r="B298" s="3" t="s">
        <v>161</v>
      </c>
      <c r="C298" s="25" t="s">
        <v>162</v>
      </c>
      <c r="D298" s="25"/>
      <c r="E298" s="25"/>
      <c r="F298" s="25"/>
      <c r="G298" s="25" t="s">
        <v>163</v>
      </c>
      <c r="H298" s="25"/>
      <c r="I298" s="25"/>
      <c r="J298" s="25"/>
      <c r="K298" s="25" t="s">
        <v>164</v>
      </c>
      <c r="L298" s="25"/>
      <c r="M298" s="25"/>
      <c r="N298" s="25"/>
      <c r="O298" s="25" t="s">
        <v>165</v>
      </c>
      <c r="P298" s="25"/>
      <c r="Q298" s="25"/>
      <c r="R298" s="25" t="s">
        <v>166</v>
      </c>
      <c r="S298" s="25"/>
      <c r="T298" s="25" t="s">
        <v>167</v>
      </c>
      <c r="U298" s="25"/>
      <c r="V298" s="25" t="s">
        <v>168</v>
      </c>
      <c r="W298" s="25"/>
      <c r="X298" s="25" t="s">
        <v>169</v>
      </c>
      <c r="Y298" s="25"/>
    </row>
    <row r="299" spans="1:25" ht="39.75" customHeight="1" x14ac:dyDescent="0.2">
      <c r="A299" s="2">
        <v>1</v>
      </c>
      <c r="B299" s="1" t="s">
        <v>411</v>
      </c>
      <c r="C299" s="21" t="s">
        <v>412</v>
      </c>
      <c r="D299" s="21"/>
      <c r="E299" s="21"/>
      <c r="F299" s="21"/>
      <c r="G299" s="23" t="s">
        <v>172</v>
      </c>
      <c r="H299" s="23"/>
      <c r="I299" s="23"/>
      <c r="J299" s="23"/>
      <c r="K299" s="23" t="s">
        <v>173</v>
      </c>
      <c r="L299" s="23"/>
      <c r="M299" s="23"/>
      <c r="N299" s="23"/>
      <c r="O299" s="23" t="s">
        <v>174</v>
      </c>
      <c r="P299" s="23"/>
      <c r="Q299" s="23"/>
      <c r="R299" s="23" t="s">
        <v>175</v>
      </c>
      <c r="S299" s="23"/>
      <c r="T299" s="23"/>
      <c r="U299" s="23"/>
      <c r="V299" s="23"/>
      <c r="W299" s="23"/>
      <c r="X299" s="21"/>
      <c r="Y299" s="21"/>
    </row>
    <row r="300" spans="1:25" ht="55.5" customHeight="1" x14ac:dyDescent="0.2">
      <c r="A300" s="2">
        <v>2</v>
      </c>
      <c r="B300" s="1" t="s">
        <v>348</v>
      </c>
      <c r="C300" s="21" t="s">
        <v>403</v>
      </c>
      <c r="D300" s="21"/>
      <c r="E300" s="21"/>
      <c r="F300" s="21"/>
      <c r="G300" s="23" t="s">
        <v>110</v>
      </c>
      <c r="H300" s="23"/>
      <c r="I300" s="23"/>
      <c r="J300" s="23"/>
      <c r="K300" s="23" t="s">
        <v>173</v>
      </c>
      <c r="L300" s="23"/>
      <c r="M300" s="23"/>
      <c r="N300" s="23"/>
      <c r="O300" s="23" t="s">
        <v>174</v>
      </c>
      <c r="P300" s="23"/>
      <c r="Q300" s="23"/>
      <c r="R300" s="23"/>
      <c r="S300" s="23"/>
      <c r="T300" s="23" t="s">
        <v>175</v>
      </c>
      <c r="U300" s="23"/>
      <c r="V300" s="23"/>
      <c r="W300" s="23"/>
      <c r="X300" s="21" t="s">
        <v>413</v>
      </c>
      <c r="Y300" s="21"/>
    </row>
    <row r="301" spans="1:25" ht="55.5" customHeight="1" x14ac:dyDescent="0.2">
      <c r="A301" s="2">
        <v>3</v>
      </c>
      <c r="B301" s="1" t="s">
        <v>267</v>
      </c>
      <c r="C301" s="21" t="s">
        <v>414</v>
      </c>
      <c r="D301" s="21"/>
      <c r="E301" s="21"/>
      <c r="F301" s="21"/>
      <c r="G301" s="23" t="s">
        <v>110</v>
      </c>
      <c r="H301" s="23"/>
      <c r="I301" s="23"/>
      <c r="J301" s="23"/>
      <c r="K301" s="23" t="s">
        <v>173</v>
      </c>
      <c r="L301" s="23"/>
      <c r="M301" s="23"/>
      <c r="N301" s="23"/>
      <c r="O301" s="23" t="s">
        <v>174</v>
      </c>
      <c r="P301" s="23"/>
      <c r="Q301" s="23"/>
      <c r="R301" s="23"/>
      <c r="S301" s="23"/>
      <c r="T301" s="23" t="s">
        <v>175</v>
      </c>
      <c r="U301" s="23"/>
      <c r="V301" s="23"/>
      <c r="W301" s="23"/>
      <c r="X301" s="21" t="s">
        <v>415</v>
      </c>
      <c r="Y301" s="21"/>
    </row>
    <row r="302" spans="1:25" ht="39.75" customHeight="1" x14ac:dyDescent="0.2">
      <c r="A302" s="2">
        <v>4</v>
      </c>
      <c r="B302" s="1" t="s">
        <v>272</v>
      </c>
      <c r="C302" s="21" t="s">
        <v>416</v>
      </c>
      <c r="D302" s="21"/>
      <c r="E302" s="21"/>
      <c r="F302" s="21"/>
      <c r="G302" s="23" t="s">
        <v>274</v>
      </c>
      <c r="H302" s="23"/>
      <c r="I302" s="23"/>
      <c r="J302" s="23"/>
      <c r="K302" s="23" t="s">
        <v>275</v>
      </c>
      <c r="L302" s="23"/>
      <c r="M302" s="23"/>
      <c r="N302" s="23"/>
      <c r="O302" s="23" t="s">
        <v>174</v>
      </c>
      <c r="P302" s="23"/>
      <c r="Q302" s="23"/>
      <c r="R302" s="23"/>
      <c r="S302" s="23"/>
      <c r="T302" s="23"/>
      <c r="U302" s="23"/>
      <c r="V302" s="23"/>
      <c r="W302" s="23"/>
      <c r="X302" s="21"/>
      <c r="Y302" s="21"/>
    </row>
    <row r="303" spans="1:25" ht="26.25" customHeight="1" x14ac:dyDescent="0.2">
      <c r="A303" s="18"/>
      <c r="B303" s="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1:25" ht="26.25" customHeight="1" x14ac:dyDescent="0.2">
      <c r="A304" s="2" t="s">
        <v>195</v>
      </c>
      <c r="B304" s="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1:25" ht="28.5" customHeight="1" x14ac:dyDescent="0.2"/>
    <row r="306" spans="1:25" ht="60" customHeight="1" x14ac:dyDescent="0.2">
      <c r="A306" s="16">
        <v>31</v>
      </c>
      <c r="B306" s="17" t="s">
        <v>2</v>
      </c>
      <c r="C306" s="24" t="str">
        <f>B34</f>
        <v>venta_evento</v>
      </c>
      <c r="D306" s="24"/>
      <c r="E306" s="24"/>
      <c r="F306" s="24"/>
      <c r="G306" s="25" t="s">
        <v>3</v>
      </c>
      <c r="H306" s="25"/>
      <c r="I306" s="25"/>
      <c r="J306" s="25"/>
      <c r="K306" s="26" t="str">
        <f>F34</f>
        <v>Detalle de los eventos incluidos en cada venta (por ejemplo, entradas), con la cantidad y el precio unitario.</v>
      </c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3" t="s">
        <v>159</v>
      </c>
      <c r="Y306" s="4" t="s">
        <v>160</v>
      </c>
    </row>
    <row r="307" spans="1:25" ht="41.25" customHeight="1" x14ac:dyDescent="0.2">
      <c r="A307" s="3" t="s">
        <v>1</v>
      </c>
      <c r="B307" s="3" t="s">
        <v>161</v>
      </c>
      <c r="C307" s="25" t="s">
        <v>162</v>
      </c>
      <c r="D307" s="25"/>
      <c r="E307" s="25"/>
      <c r="F307" s="25"/>
      <c r="G307" s="25" t="s">
        <v>163</v>
      </c>
      <c r="H307" s="25"/>
      <c r="I307" s="25"/>
      <c r="J307" s="25"/>
      <c r="K307" s="25" t="s">
        <v>164</v>
      </c>
      <c r="L307" s="25"/>
      <c r="M307" s="25"/>
      <c r="N307" s="25"/>
      <c r="O307" s="25" t="s">
        <v>165</v>
      </c>
      <c r="P307" s="25"/>
      <c r="Q307" s="25"/>
      <c r="R307" s="25" t="s">
        <v>166</v>
      </c>
      <c r="S307" s="25"/>
      <c r="T307" s="25" t="s">
        <v>167</v>
      </c>
      <c r="U307" s="25"/>
      <c r="V307" s="25" t="s">
        <v>168</v>
      </c>
      <c r="W307" s="25"/>
      <c r="X307" s="25" t="s">
        <v>169</v>
      </c>
      <c r="Y307" s="25"/>
    </row>
    <row r="308" spans="1:25" ht="39.75" customHeight="1" x14ac:dyDescent="0.2">
      <c r="A308" s="2">
        <v>1</v>
      </c>
      <c r="B308" s="1" t="s">
        <v>417</v>
      </c>
      <c r="C308" s="21" t="s">
        <v>418</v>
      </c>
      <c r="D308" s="21"/>
      <c r="E308" s="21"/>
      <c r="F308" s="21"/>
      <c r="G308" s="23" t="s">
        <v>172</v>
      </c>
      <c r="H308" s="23"/>
      <c r="I308" s="23"/>
      <c r="J308" s="23"/>
      <c r="K308" s="23" t="s">
        <v>173</v>
      </c>
      <c r="L308" s="23"/>
      <c r="M308" s="23"/>
      <c r="N308" s="23"/>
      <c r="O308" s="23" t="s">
        <v>174</v>
      </c>
      <c r="P308" s="23"/>
      <c r="Q308" s="23"/>
      <c r="R308" s="23" t="s">
        <v>175</v>
      </c>
      <c r="S308" s="23"/>
      <c r="T308" s="23"/>
      <c r="U308" s="23"/>
      <c r="V308" s="23"/>
      <c r="W308" s="23"/>
      <c r="X308" s="21"/>
      <c r="Y308" s="21"/>
    </row>
    <row r="309" spans="1:25" ht="55.5" customHeight="1" x14ac:dyDescent="0.2">
      <c r="A309" s="2">
        <v>2</v>
      </c>
      <c r="B309" s="1" t="s">
        <v>348</v>
      </c>
      <c r="C309" s="21" t="s">
        <v>403</v>
      </c>
      <c r="D309" s="21"/>
      <c r="E309" s="21"/>
      <c r="F309" s="21"/>
      <c r="G309" s="23" t="s">
        <v>110</v>
      </c>
      <c r="H309" s="23"/>
      <c r="I309" s="23"/>
      <c r="J309" s="23"/>
      <c r="K309" s="23" t="s">
        <v>173</v>
      </c>
      <c r="L309" s="23"/>
      <c r="M309" s="23"/>
      <c r="N309" s="23"/>
      <c r="O309" s="23" t="s">
        <v>174</v>
      </c>
      <c r="P309" s="23"/>
      <c r="Q309" s="23"/>
      <c r="R309" s="23"/>
      <c r="S309" s="23"/>
      <c r="T309" s="23" t="s">
        <v>175</v>
      </c>
      <c r="U309" s="23"/>
      <c r="V309" s="23"/>
      <c r="W309" s="23"/>
      <c r="X309" s="21" t="s">
        <v>419</v>
      </c>
      <c r="Y309" s="21"/>
    </row>
    <row r="310" spans="1:25" ht="55.5" customHeight="1" x14ac:dyDescent="0.2">
      <c r="A310" s="2">
        <v>3</v>
      </c>
      <c r="B310" s="1" t="s">
        <v>290</v>
      </c>
      <c r="C310" s="21" t="s">
        <v>420</v>
      </c>
      <c r="D310" s="21"/>
      <c r="E310" s="21"/>
      <c r="F310" s="21"/>
      <c r="G310" s="23" t="s">
        <v>110</v>
      </c>
      <c r="H310" s="23"/>
      <c r="I310" s="23"/>
      <c r="J310" s="23"/>
      <c r="K310" s="23" t="s">
        <v>173</v>
      </c>
      <c r="L310" s="23"/>
      <c r="M310" s="23"/>
      <c r="N310" s="23"/>
      <c r="O310" s="23" t="s">
        <v>174</v>
      </c>
      <c r="P310" s="23"/>
      <c r="Q310" s="23"/>
      <c r="R310" s="23"/>
      <c r="S310" s="23"/>
      <c r="T310" s="23" t="s">
        <v>175</v>
      </c>
      <c r="U310" s="23"/>
      <c r="V310" s="23"/>
      <c r="W310" s="23"/>
      <c r="X310" s="21" t="s">
        <v>421</v>
      </c>
      <c r="Y310" s="21"/>
    </row>
    <row r="311" spans="1:25" ht="39.75" customHeight="1" x14ac:dyDescent="0.2">
      <c r="A311" s="2">
        <v>4</v>
      </c>
      <c r="B311" s="1" t="s">
        <v>407</v>
      </c>
      <c r="C311" s="21" t="s">
        <v>422</v>
      </c>
      <c r="D311" s="21"/>
      <c r="E311" s="21"/>
      <c r="F311" s="21"/>
      <c r="G311" s="23" t="s">
        <v>110</v>
      </c>
      <c r="H311" s="23"/>
      <c r="I311" s="23"/>
      <c r="J311" s="23"/>
      <c r="K311" s="23" t="s">
        <v>173</v>
      </c>
      <c r="L311" s="23"/>
      <c r="M311" s="23"/>
      <c r="N311" s="23"/>
      <c r="O311" s="23" t="s">
        <v>174</v>
      </c>
      <c r="P311" s="23"/>
      <c r="Q311" s="23"/>
      <c r="R311" s="23"/>
      <c r="S311" s="23"/>
      <c r="T311" s="23"/>
      <c r="U311" s="23"/>
      <c r="V311" s="23"/>
      <c r="W311" s="23"/>
      <c r="X311" s="21"/>
      <c r="Y311" s="21"/>
    </row>
    <row r="312" spans="1:25" ht="39.75" customHeight="1" x14ac:dyDescent="0.2">
      <c r="A312" s="2">
        <v>5</v>
      </c>
      <c r="B312" s="1" t="s">
        <v>409</v>
      </c>
      <c r="C312" s="21" t="s">
        <v>423</v>
      </c>
      <c r="D312" s="21"/>
      <c r="E312" s="21"/>
      <c r="F312" s="21"/>
      <c r="G312" s="23" t="s">
        <v>274</v>
      </c>
      <c r="H312" s="23"/>
      <c r="I312" s="23"/>
      <c r="J312" s="23"/>
      <c r="K312" s="23" t="s">
        <v>275</v>
      </c>
      <c r="L312" s="23"/>
      <c r="M312" s="23"/>
      <c r="N312" s="23"/>
      <c r="O312" s="23" t="s">
        <v>174</v>
      </c>
      <c r="P312" s="23"/>
      <c r="Q312" s="23"/>
      <c r="R312" s="23"/>
      <c r="S312" s="23"/>
      <c r="T312" s="23"/>
      <c r="U312" s="23"/>
      <c r="V312" s="23"/>
      <c r="W312" s="23"/>
      <c r="X312" s="21"/>
      <c r="Y312" s="21"/>
    </row>
    <row r="313" spans="1:25" ht="26.25" customHeight="1" x14ac:dyDescent="0.2">
      <c r="A313" s="18"/>
      <c r="B313" s="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1:25" ht="26.25" customHeight="1" x14ac:dyDescent="0.2">
      <c r="A314" s="2" t="s">
        <v>195</v>
      </c>
      <c r="B314" s="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1:25" ht="28.5" customHeight="1" x14ac:dyDescent="0.2"/>
    <row r="316" spans="1:25" ht="40.5" customHeight="1" x14ac:dyDescent="0.2">
      <c r="A316" s="22" t="s">
        <v>424</v>
      </c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5.75" customHeight="1" x14ac:dyDescent="0.2">
      <c r="A317" s="6"/>
    </row>
    <row r="318" spans="1:25" ht="15.75" customHeight="1" x14ac:dyDescent="0.2">
      <c r="A318" s="6"/>
    </row>
    <row r="319" spans="1:25" ht="15.75" customHeight="1" x14ac:dyDescent="0.2">
      <c r="A319" s="6"/>
    </row>
    <row r="320" spans="1:25" ht="15.75" customHeight="1" x14ac:dyDescent="0.2">
      <c r="A320" s="6"/>
    </row>
    <row r="321" spans="1:1" ht="15.75" customHeight="1" x14ac:dyDescent="0.2">
      <c r="A321" s="6"/>
    </row>
    <row r="322" spans="1:1" ht="15.75" customHeight="1" x14ac:dyDescent="0.2">
      <c r="A322" s="6"/>
    </row>
    <row r="323" spans="1:1" ht="15.75" customHeight="1" x14ac:dyDescent="0.2">
      <c r="A323" s="6"/>
    </row>
    <row r="324" spans="1:1" ht="15.75" customHeight="1" x14ac:dyDescent="0.2">
      <c r="A324" s="6"/>
    </row>
    <row r="325" spans="1:1" ht="15.75" customHeight="1" x14ac:dyDescent="0.2">
      <c r="A325" s="6"/>
    </row>
    <row r="326" spans="1:1" ht="15.75" customHeight="1" x14ac:dyDescent="0.2">
      <c r="A326" s="6"/>
    </row>
    <row r="327" spans="1:1" ht="15.75" customHeight="1" x14ac:dyDescent="0.2">
      <c r="A327" s="6"/>
    </row>
    <row r="328" spans="1:1" ht="15.75" customHeight="1" x14ac:dyDescent="0.2">
      <c r="A328" s="6"/>
    </row>
    <row r="329" spans="1:1" ht="15.75" customHeight="1" x14ac:dyDescent="0.2">
      <c r="A329" s="6"/>
    </row>
    <row r="330" spans="1:1" ht="15.75" customHeight="1" x14ac:dyDescent="0.2">
      <c r="A330" s="6"/>
    </row>
    <row r="331" spans="1:1" ht="15.75" customHeight="1" x14ac:dyDescent="0.2">
      <c r="A331" s="6"/>
    </row>
    <row r="332" spans="1:1" ht="15.75" customHeight="1" x14ac:dyDescent="0.2">
      <c r="A332" s="6"/>
    </row>
    <row r="333" spans="1:1" ht="15.75" customHeight="1" x14ac:dyDescent="0.2">
      <c r="A333" s="6"/>
    </row>
    <row r="334" spans="1:1" ht="15.75" customHeight="1" x14ac:dyDescent="0.2">
      <c r="A334" s="6"/>
    </row>
    <row r="335" spans="1:1" ht="15.75" customHeight="1" x14ac:dyDescent="0.2">
      <c r="A335" s="6"/>
    </row>
    <row r="336" spans="1:1" ht="15.75" customHeight="1" x14ac:dyDescent="0.2">
      <c r="A336" s="6"/>
    </row>
    <row r="337" spans="1:1" ht="15.75" customHeight="1" x14ac:dyDescent="0.2">
      <c r="A337" s="6"/>
    </row>
    <row r="338" spans="1:1" ht="15.75" customHeight="1" x14ac:dyDescent="0.2">
      <c r="A338" s="6"/>
    </row>
    <row r="339" spans="1:1" ht="15.75" customHeight="1" x14ac:dyDescent="0.2">
      <c r="A339" s="6"/>
    </row>
    <row r="340" spans="1:1" ht="15.75" customHeight="1" x14ac:dyDescent="0.2">
      <c r="A340" s="6"/>
    </row>
    <row r="341" spans="1:1" ht="15.75" customHeight="1" x14ac:dyDescent="0.2">
      <c r="A341" s="6"/>
    </row>
    <row r="342" spans="1:1" ht="15.75" customHeight="1" x14ac:dyDescent="0.2">
      <c r="A342" s="6"/>
    </row>
    <row r="343" spans="1:1" ht="15.75" customHeight="1" x14ac:dyDescent="0.2">
      <c r="A343" s="6"/>
    </row>
    <row r="344" spans="1:1" ht="15.75" customHeight="1" x14ac:dyDescent="0.2">
      <c r="A344" s="6"/>
    </row>
    <row r="345" spans="1:1" ht="15.75" customHeight="1" x14ac:dyDescent="0.2">
      <c r="A345" s="6"/>
    </row>
    <row r="346" spans="1:1" ht="15.75" customHeight="1" x14ac:dyDescent="0.2">
      <c r="A346" s="6"/>
    </row>
    <row r="347" spans="1:1" ht="15.75" customHeight="1" x14ac:dyDescent="0.2">
      <c r="A347" s="6"/>
    </row>
    <row r="348" spans="1:1" ht="15.75" customHeight="1" x14ac:dyDescent="0.2">
      <c r="A348" s="6"/>
    </row>
    <row r="349" spans="1:1" ht="15.75" customHeight="1" x14ac:dyDescent="0.2">
      <c r="A349" s="6"/>
    </row>
    <row r="350" spans="1:1" ht="15.75" customHeight="1" x14ac:dyDescent="0.2">
      <c r="A350" s="6"/>
    </row>
    <row r="351" spans="1:1" ht="15.75" customHeight="1" x14ac:dyDescent="0.2">
      <c r="A351" s="6"/>
    </row>
    <row r="352" spans="1:1" ht="15.75" customHeight="1" x14ac:dyDescent="0.2">
      <c r="A352" s="6"/>
    </row>
    <row r="353" spans="1:1" ht="15.75" customHeight="1" x14ac:dyDescent="0.2">
      <c r="A353" s="6"/>
    </row>
    <row r="354" spans="1:1" ht="15.75" customHeight="1" x14ac:dyDescent="0.2">
      <c r="A354" s="6"/>
    </row>
    <row r="355" spans="1:1" ht="15.75" customHeight="1" x14ac:dyDescent="0.2">
      <c r="A355" s="6"/>
    </row>
    <row r="356" spans="1:1" ht="15.75" customHeight="1" x14ac:dyDescent="0.2">
      <c r="A356" s="6"/>
    </row>
    <row r="357" spans="1:1" ht="15.75" customHeight="1" x14ac:dyDescent="0.2">
      <c r="A357" s="6"/>
    </row>
    <row r="358" spans="1:1" ht="15.75" customHeight="1" x14ac:dyDescent="0.2">
      <c r="A358" s="6"/>
    </row>
    <row r="359" spans="1:1" ht="15.75" customHeight="1" x14ac:dyDescent="0.2">
      <c r="A359" s="6"/>
    </row>
    <row r="360" spans="1:1" ht="15.75" customHeight="1" x14ac:dyDescent="0.2">
      <c r="A360" s="6"/>
    </row>
    <row r="361" spans="1:1" ht="15.75" customHeight="1" x14ac:dyDescent="0.2">
      <c r="A361" s="6"/>
    </row>
    <row r="362" spans="1:1" ht="15.75" customHeight="1" x14ac:dyDescent="0.2">
      <c r="A362" s="6"/>
    </row>
    <row r="363" spans="1:1" ht="15.75" customHeight="1" x14ac:dyDescent="0.2">
      <c r="A363" s="6"/>
    </row>
    <row r="364" spans="1:1" ht="15.75" customHeight="1" x14ac:dyDescent="0.2">
      <c r="A364" s="6"/>
    </row>
    <row r="365" spans="1:1" ht="15.75" customHeight="1" x14ac:dyDescent="0.2">
      <c r="A365" s="6"/>
    </row>
    <row r="366" spans="1:1" ht="15.75" customHeight="1" x14ac:dyDescent="0.2">
      <c r="A366" s="6"/>
    </row>
    <row r="367" spans="1:1" ht="15.75" customHeight="1" x14ac:dyDescent="0.2">
      <c r="A367" s="6"/>
    </row>
    <row r="368" spans="1:1" ht="15.75" customHeight="1" x14ac:dyDescent="0.2">
      <c r="A368" s="6"/>
    </row>
    <row r="369" spans="1:1" ht="15.75" customHeight="1" x14ac:dyDescent="0.2">
      <c r="A369" s="6"/>
    </row>
    <row r="370" spans="1:1" ht="15.75" customHeight="1" x14ac:dyDescent="0.2">
      <c r="A370" s="6"/>
    </row>
    <row r="371" spans="1:1" ht="15.75" customHeight="1" x14ac:dyDescent="0.2">
      <c r="A371" s="6"/>
    </row>
    <row r="372" spans="1:1" ht="15.75" customHeight="1" x14ac:dyDescent="0.2">
      <c r="A372" s="6"/>
    </row>
    <row r="373" spans="1:1" ht="15.75" customHeight="1" x14ac:dyDescent="0.2">
      <c r="A373" s="6"/>
    </row>
    <row r="374" spans="1:1" ht="15.75" customHeight="1" x14ac:dyDescent="0.2">
      <c r="A374" s="6"/>
    </row>
    <row r="375" spans="1:1" ht="15.75" customHeight="1" x14ac:dyDescent="0.2">
      <c r="A375" s="6"/>
    </row>
    <row r="376" spans="1:1" ht="15.75" customHeight="1" x14ac:dyDescent="0.2">
      <c r="A376" s="6"/>
    </row>
    <row r="377" spans="1:1" ht="15.75" customHeight="1" x14ac:dyDescent="0.2">
      <c r="A377" s="6"/>
    </row>
    <row r="378" spans="1:1" ht="15.75" customHeight="1" x14ac:dyDescent="0.2">
      <c r="A378" s="6"/>
    </row>
    <row r="379" spans="1:1" ht="15.75" customHeight="1" x14ac:dyDescent="0.2">
      <c r="A379" s="6"/>
    </row>
    <row r="380" spans="1:1" ht="15.75" customHeight="1" x14ac:dyDescent="0.2">
      <c r="A380" s="6"/>
    </row>
    <row r="381" spans="1:1" ht="15.75" customHeight="1" x14ac:dyDescent="0.2">
      <c r="A381" s="6"/>
    </row>
    <row r="382" spans="1:1" ht="15.75" customHeight="1" x14ac:dyDescent="0.2">
      <c r="A382" s="6"/>
    </row>
    <row r="383" spans="1:1" ht="15.75" customHeight="1" x14ac:dyDescent="0.2">
      <c r="A383" s="6"/>
    </row>
    <row r="384" spans="1:1" ht="15.75" customHeight="1" x14ac:dyDescent="0.2">
      <c r="A384" s="6"/>
    </row>
    <row r="385" spans="1:1" ht="15.75" customHeight="1" x14ac:dyDescent="0.2">
      <c r="A385" s="6"/>
    </row>
    <row r="386" spans="1:1" ht="15.75" customHeight="1" x14ac:dyDescent="0.2">
      <c r="A386" s="6"/>
    </row>
    <row r="387" spans="1:1" ht="15.75" customHeight="1" x14ac:dyDescent="0.2">
      <c r="A387" s="6"/>
    </row>
    <row r="388" spans="1:1" ht="15.75" customHeight="1" x14ac:dyDescent="0.2">
      <c r="A388" s="6"/>
    </row>
    <row r="389" spans="1:1" ht="15.75" customHeight="1" x14ac:dyDescent="0.2">
      <c r="A389" s="6"/>
    </row>
    <row r="390" spans="1:1" ht="15.75" customHeight="1" x14ac:dyDescent="0.2">
      <c r="A390" s="6"/>
    </row>
    <row r="391" spans="1:1" ht="15.75" customHeight="1" x14ac:dyDescent="0.2">
      <c r="A391" s="6"/>
    </row>
    <row r="392" spans="1:1" ht="15.75" customHeight="1" x14ac:dyDescent="0.2">
      <c r="A392" s="6"/>
    </row>
    <row r="393" spans="1:1" ht="15.75" customHeight="1" x14ac:dyDescent="0.2">
      <c r="A393" s="6"/>
    </row>
    <row r="394" spans="1:1" ht="15.75" customHeight="1" x14ac:dyDescent="0.2">
      <c r="A394" s="6"/>
    </row>
    <row r="395" spans="1:1" ht="15.75" customHeight="1" x14ac:dyDescent="0.2">
      <c r="A395" s="6"/>
    </row>
    <row r="396" spans="1:1" ht="15.75" customHeight="1" x14ac:dyDescent="0.2">
      <c r="A396" s="6"/>
    </row>
    <row r="397" spans="1:1" ht="15.75" customHeight="1" x14ac:dyDescent="0.2">
      <c r="A397" s="6"/>
    </row>
    <row r="398" spans="1:1" ht="15.75" customHeight="1" x14ac:dyDescent="0.2">
      <c r="A398" s="6"/>
    </row>
    <row r="399" spans="1:1" ht="15.75" customHeight="1" x14ac:dyDescent="0.2">
      <c r="A399" s="6"/>
    </row>
    <row r="400" spans="1:1" ht="15.75" customHeight="1" x14ac:dyDescent="0.2">
      <c r="A400" s="6"/>
    </row>
    <row r="401" spans="1:1" ht="15.75" customHeight="1" x14ac:dyDescent="0.2">
      <c r="A401" s="6"/>
    </row>
    <row r="402" spans="1:1" ht="15.75" customHeight="1" x14ac:dyDescent="0.2">
      <c r="A402" s="6"/>
    </row>
    <row r="403" spans="1:1" ht="15.75" customHeight="1" x14ac:dyDescent="0.2">
      <c r="A403" s="6"/>
    </row>
    <row r="404" spans="1:1" ht="15.75" customHeight="1" x14ac:dyDescent="0.2">
      <c r="A404" s="6"/>
    </row>
    <row r="405" spans="1:1" ht="15.75" customHeight="1" x14ac:dyDescent="0.2">
      <c r="A405" s="6"/>
    </row>
    <row r="406" spans="1:1" ht="15.75" customHeight="1" x14ac:dyDescent="0.2">
      <c r="A406" s="6"/>
    </row>
    <row r="407" spans="1:1" ht="15.75" customHeight="1" x14ac:dyDescent="0.2">
      <c r="A407" s="6"/>
    </row>
    <row r="408" spans="1:1" ht="15.75" customHeight="1" x14ac:dyDescent="0.2">
      <c r="A408" s="6"/>
    </row>
    <row r="409" spans="1:1" ht="15.75" customHeight="1" x14ac:dyDescent="0.2">
      <c r="A409" s="6"/>
    </row>
    <row r="410" spans="1:1" ht="15.75" customHeight="1" x14ac:dyDescent="0.2">
      <c r="A410" s="6"/>
    </row>
    <row r="411" spans="1:1" ht="15.75" customHeight="1" x14ac:dyDescent="0.2">
      <c r="A411" s="6"/>
    </row>
    <row r="412" spans="1:1" ht="15.75" customHeight="1" x14ac:dyDescent="0.2">
      <c r="A412" s="6"/>
    </row>
    <row r="413" spans="1:1" ht="15.75" customHeight="1" x14ac:dyDescent="0.2">
      <c r="A413" s="6"/>
    </row>
    <row r="414" spans="1:1" ht="15.75" customHeight="1" x14ac:dyDescent="0.2">
      <c r="A414" s="6"/>
    </row>
    <row r="415" spans="1:1" ht="15.75" customHeight="1" x14ac:dyDescent="0.2">
      <c r="A415" s="6"/>
    </row>
    <row r="416" spans="1:1" ht="15.75" customHeight="1" x14ac:dyDescent="0.2">
      <c r="A416" s="6"/>
    </row>
    <row r="417" spans="1:1" ht="15.75" customHeight="1" x14ac:dyDescent="0.2">
      <c r="A417" s="6"/>
    </row>
    <row r="418" spans="1:1" ht="15.75" customHeight="1" x14ac:dyDescent="0.2">
      <c r="A418" s="6"/>
    </row>
    <row r="419" spans="1:1" ht="15.75" customHeight="1" x14ac:dyDescent="0.2">
      <c r="A419" s="6"/>
    </row>
    <row r="420" spans="1:1" ht="15.75" customHeight="1" x14ac:dyDescent="0.2">
      <c r="A420" s="6"/>
    </row>
    <row r="421" spans="1:1" ht="15.75" customHeight="1" x14ac:dyDescent="0.2">
      <c r="A421" s="6"/>
    </row>
    <row r="422" spans="1:1" ht="15.75" customHeight="1" x14ac:dyDescent="0.2">
      <c r="A422" s="6"/>
    </row>
    <row r="423" spans="1:1" ht="15.75" customHeight="1" x14ac:dyDescent="0.2">
      <c r="A423" s="6"/>
    </row>
    <row r="424" spans="1:1" ht="15.75" customHeight="1" x14ac:dyDescent="0.2">
      <c r="A424" s="6"/>
    </row>
    <row r="425" spans="1:1" ht="15.75" customHeight="1" x14ac:dyDescent="0.2">
      <c r="A425" s="6"/>
    </row>
    <row r="426" spans="1:1" ht="15.75" customHeight="1" x14ac:dyDescent="0.2">
      <c r="A426" s="6"/>
    </row>
    <row r="427" spans="1:1" ht="15.75" customHeight="1" x14ac:dyDescent="0.2">
      <c r="A427" s="6"/>
    </row>
    <row r="428" spans="1:1" ht="15.75" customHeight="1" x14ac:dyDescent="0.2">
      <c r="A428" s="6"/>
    </row>
    <row r="429" spans="1:1" ht="15.75" customHeight="1" x14ac:dyDescent="0.2">
      <c r="A429" s="6"/>
    </row>
    <row r="430" spans="1:1" ht="15.75" customHeight="1" x14ac:dyDescent="0.2">
      <c r="A430" s="6"/>
    </row>
    <row r="431" spans="1:1" ht="15.75" customHeight="1" x14ac:dyDescent="0.2">
      <c r="A431" s="6"/>
    </row>
    <row r="432" spans="1:1" ht="15.75" customHeight="1" x14ac:dyDescent="0.2">
      <c r="A432" s="6"/>
    </row>
    <row r="433" spans="1:1" ht="15.75" customHeight="1" x14ac:dyDescent="0.2">
      <c r="A433" s="6"/>
    </row>
    <row r="434" spans="1:1" ht="15.75" customHeight="1" x14ac:dyDescent="0.2">
      <c r="A434" s="6"/>
    </row>
    <row r="435" spans="1:1" ht="15.75" customHeight="1" x14ac:dyDescent="0.2">
      <c r="A435" s="6"/>
    </row>
    <row r="436" spans="1:1" ht="15.75" customHeight="1" x14ac:dyDescent="0.2">
      <c r="A436" s="6"/>
    </row>
    <row r="437" spans="1:1" ht="15.75" customHeight="1" x14ac:dyDescent="0.2">
      <c r="A437" s="6"/>
    </row>
    <row r="438" spans="1:1" ht="15.75" customHeight="1" x14ac:dyDescent="0.2">
      <c r="A438" s="6"/>
    </row>
    <row r="439" spans="1:1" ht="15.75" customHeight="1" x14ac:dyDescent="0.2">
      <c r="A439" s="6"/>
    </row>
    <row r="440" spans="1:1" ht="15.75" customHeight="1" x14ac:dyDescent="0.2">
      <c r="A440" s="6"/>
    </row>
    <row r="441" spans="1:1" ht="15.75" customHeight="1" x14ac:dyDescent="0.2">
      <c r="A441" s="6"/>
    </row>
    <row r="442" spans="1:1" ht="15.75" customHeight="1" x14ac:dyDescent="0.2">
      <c r="A442" s="6"/>
    </row>
    <row r="443" spans="1:1" ht="15.75" customHeight="1" x14ac:dyDescent="0.2">
      <c r="A443" s="6"/>
    </row>
    <row r="444" spans="1:1" ht="15.75" customHeight="1" x14ac:dyDescent="0.2">
      <c r="A444" s="6"/>
    </row>
    <row r="445" spans="1:1" ht="15.75" customHeight="1" x14ac:dyDescent="0.2">
      <c r="A445" s="6"/>
    </row>
    <row r="446" spans="1:1" ht="15.75" customHeight="1" x14ac:dyDescent="0.2">
      <c r="A446" s="6"/>
    </row>
    <row r="447" spans="1:1" ht="15.75" customHeight="1" x14ac:dyDescent="0.2">
      <c r="A447" s="6"/>
    </row>
    <row r="448" spans="1:1" ht="15.75" customHeight="1" x14ac:dyDescent="0.2">
      <c r="A448" s="6"/>
    </row>
    <row r="449" spans="1:1" ht="15.75" customHeight="1" x14ac:dyDescent="0.2">
      <c r="A449" s="6"/>
    </row>
    <row r="450" spans="1:1" ht="15.75" customHeight="1" x14ac:dyDescent="0.2">
      <c r="A450" s="6"/>
    </row>
    <row r="451" spans="1:1" ht="15.75" customHeight="1" x14ac:dyDescent="0.2">
      <c r="A451" s="6"/>
    </row>
    <row r="452" spans="1:1" ht="15.75" customHeight="1" x14ac:dyDescent="0.2">
      <c r="A452" s="6"/>
    </row>
    <row r="453" spans="1:1" ht="15.75" customHeight="1" x14ac:dyDescent="0.2">
      <c r="A453" s="6"/>
    </row>
    <row r="454" spans="1:1" ht="15.75" customHeight="1" x14ac:dyDescent="0.2">
      <c r="A454" s="6"/>
    </row>
    <row r="455" spans="1:1" ht="15.75" customHeight="1" x14ac:dyDescent="0.2">
      <c r="A455" s="6"/>
    </row>
    <row r="456" spans="1:1" ht="15.75" customHeight="1" x14ac:dyDescent="0.2">
      <c r="A456" s="6"/>
    </row>
    <row r="457" spans="1:1" ht="15.75" customHeight="1" x14ac:dyDescent="0.2">
      <c r="A457" s="6"/>
    </row>
    <row r="458" spans="1:1" ht="15.75" customHeight="1" x14ac:dyDescent="0.2">
      <c r="A458" s="6"/>
    </row>
    <row r="459" spans="1:1" ht="15.75" customHeight="1" x14ac:dyDescent="0.2">
      <c r="A459" s="6"/>
    </row>
    <row r="460" spans="1:1" ht="15.75" customHeight="1" x14ac:dyDescent="0.2">
      <c r="A460" s="6"/>
    </row>
    <row r="461" spans="1:1" ht="15.75" customHeight="1" x14ac:dyDescent="0.2">
      <c r="A461" s="6"/>
    </row>
    <row r="462" spans="1:1" ht="15.75" customHeight="1" x14ac:dyDescent="0.2">
      <c r="A462" s="6"/>
    </row>
    <row r="463" spans="1:1" ht="15.75" customHeight="1" x14ac:dyDescent="0.2">
      <c r="A463" s="6"/>
    </row>
    <row r="464" spans="1:1" ht="15.75" customHeight="1" x14ac:dyDescent="0.2">
      <c r="A464" s="6"/>
    </row>
    <row r="465" spans="1:1" ht="15.75" customHeight="1" x14ac:dyDescent="0.2">
      <c r="A465" s="6"/>
    </row>
    <row r="466" spans="1:1" ht="15.75" customHeight="1" x14ac:dyDescent="0.2">
      <c r="A466" s="6"/>
    </row>
    <row r="467" spans="1:1" ht="15.75" customHeight="1" x14ac:dyDescent="0.2">
      <c r="A467" s="6"/>
    </row>
    <row r="468" spans="1:1" ht="15.75" customHeight="1" x14ac:dyDescent="0.2">
      <c r="A468" s="6"/>
    </row>
    <row r="469" spans="1:1" ht="15.75" customHeight="1" x14ac:dyDescent="0.2">
      <c r="A469" s="6"/>
    </row>
    <row r="470" spans="1:1" ht="15.75" customHeight="1" x14ac:dyDescent="0.2">
      <c r="A470" s="6"/>
    </row>
    <row r="471" spans="1:1" ht="15.75" customHeight="1" x14ac:dyDescent="0.2">
      <c r="A471" s="6"/>
    </row>
    <row r="472" spans="1:1" ht="15.75" customHeight="1" x14ac:dyDescent="0.2">
      <c r="A472" s="6"/>
    </row>
    <row r="473" spans="1:1" ht="15.75" customHeight="1" x14ac:dyDescent="0.2">
      <c r="A473" s="6"/>
    </row>
    <row r="474" spans="1:1" ht="15.75" customHeight="1" x14ac:dyDescent="0.2">
      <c r="A474" s="6"/>
    </row>
    <row r="475" spans="1:1" ht="15.75" customHeight="1" x14ac:dyDescent="0.2">
      <c r="A475" s="6"/>
    </row>
    <row r="476" spans="1:1" ht="15.75" customHeight="1" x14ac:dyDescent="0.2">
      <c r="A476" s="6"/>
    </row>
    <row r="477" spans="1:1" ht="15.75" customHeight="1" x14ac:dyDescent="0.2">
      <c r="A477" s="6"/>
    </row>
    <row r="478" spans="1:1" ht="15.75" customHeight="1" x14ac:dyDescent="0.2">
      <c r="A478" s="6"/>
    </row>
    <row r="479" spans="1:1" ht="15.75" customHeight="1" x14ac:dyDescent="0.2">
      <c r="A479" s="6"/>
    </row>
    <row r="480" spans="1:1" ht="15.75" customHeight="1" x14ac:dyDescent="0.2">
      <c r="A480" s="6"/>
    </row>
    <row r="481" spans="1:1" ht="15.75" customHeight="1" x14ac:dyDescent="0.2">
      <c r="A481" s="6"/>
    </row>
    <row r="482" spans="1:1" ht="15.75" customHeight="1" x14ac:dyDescent="0.2">
      <c r="A482" s="6"/>
    </row>
    <row r="483" spans="1:1" ht="15.75" customHeight="1" x14ac:dyDescent="0.2">
      <c r="A483" s="6"/>
    </row>
    <row r="484" spans="1:1" ht="15.75" customHeight="1" x14ac:dyDescent="0.2">
      <c r="A484" s="6"/>
    </row>
    <row r="485" spans="1:1" ht="15.75" customHeight="1" x14ac:dyDescent="0.2">
      <c r="A485" s="6"/>
    </row>
    <row r="486" spans="1:1" ht="15.75" customHeight="1" x14ac:dyDescent="0.2">
      <c r="A486" s="6"/>
    </row>
    <row r="487" spans="1:1" ht="15.75" customHeight="1" x14ac:dyDescent="0.2">
      <c r="A487" s="6"/>
    </row>
    <row r="488" spans="1:1" ht="15.75" customHeight="1" x14ac:dyDescent="0.2">
      <c r="A488" s="6"/>
    </row>
    <row r="489" spans="1:1" ht="15.75" customHeight="1" x14ac:dyDescent="0.2">
      <c r="A489" s="6"/>
    </row>
    <row r="490" spans="1:1" ht="15.75" customHeight="1" x14ac:dyDescent="0.2">
      <c r="A490" s="6"/>
    </row>
    <row r="491" spans="1:1" ht="15.75" customHeight="1" x14ac:dyDescent="0.2">
      <c r="A491" s="6"/>
    </row>
    <row r="492" spans="1:1" ht="15.75" customHeight="1" x14ac:dyDescent="0.2">
      <c r="A492" s="6"/>
    </row>
    <row r="493" spans="1:1" ht="15.75" customHeight="1" x14ac:dyDescent="0.2">
      <c r="A493" s="6"/>
    </row>
    <row r="494" spans="1:1" ht="15.75" customHeight="1" x14ac:dyDescent="0.2">
      <c r="A494" s="6"/>
    </row>
    <row r="495" spans="1:1" ht="15.75" customHeight="1" x14ac:dyDescent="0.2">
      <c r="A495" s="6"/>
    </row>
    <row r="496" spans="1:1" ht="15.75" customHeight="1" x14ac:dyDescent="0.2">
      <c r="A496" s="6"/>
    </row>
    <row r="497" spans="1:1" ht="15.75" customHeight="1" x14ac:dyDescent="0.2">
      <c r="A497" s="6"/>
    </row>
    <row r="498" spans="1:1" ht="15.75" customHeight="1" x14ac:dyDescent="0.2">
      <c r="A498" s="6"/>
    </row>
    <row r="499" spans="1:1" ht="15.75" customHeight="1" x14ac:dyDescent="0.2">
      <c r="A499" s="6"/>
    </row>
    <row r="500" spans="1:1" ht="15.75" customHeight="1" x14ac:dyDescent="0.2">
      <c r="A500" s="6"/>
    </row>
    <row r="501" spans="1:1" ht="15.75" customHeight="1" x14ac:dyDescent="0.2">
      <c r="A501" s="6"/>
    </row>
    <row r="502" spans="1:1" ht="15.75" customHeight="1" x14ac:dyDescent="0.2">
      <c r="A502" s="6"/>
    </row>
    <row r="503" spans="1:1" ht="15.75" customHeight="1" x14ac:dyDescent="0.2">
      <c r="A503" s="6"/>
    </row>
    <row r="504" spans="1:1" ht="15.75" customHeight="1" x14ac:dyDescent="0.2">
      <c r="A504" s="6"/>
    </row>
    <row r="505" spans="1:1" ht="15.75" customHeight="1" x14ac:dyDescent="0.2">
      <c r="A505" s="6"/>
    </row>
    <row r="506" spans="1:1" ht="15.75" customHeight="1" x14ac:dyDescent="0.2">
      <c r="A506" s="6"/>
    </row>
    <row r="507" spans="1:1" ht="15.75" customHeight="1" x14ac:dyDescent="0.2">
      <c r="A507" s="6"/>
    </row>
    <row r="508" spans="1:1" ht="15.75" customHeight="1" x14ac:dyDescent="0.2">
      <c r="A508" s="6"/>
    </row>
    <row r="509" spans="1:1" ht="15.75" customHeight="1" x14ac:dyDescent="0.2">
      <c r="A509" s="6"/>
    </row>
    <row r="510" spans="1:1" ht="15.75" customHeight="1" x14ac:dyDescent="0.2">
      <c r="A510" s="6"/>
    </row>
    <row r="511" spans="1:1" ht="15.75" customHeight="1" x14ac:dyDescent="0.2">
      <c r="A511" s="6"/>
    </row>
    <row r="512" spans="1:1" ht="15.75" customHeight="1" x14ac:dyDescent="0.2">
      <c r="A512" s="6"/>
    </row>
    <row r="513" spans="1:1" ht="15.75" customHeight="1" x14ac:dyDescent="0.2">
      <c r="A513" s="6"/>
    </row>
    <row r="514" spans="1:1" ht="15.75" customHeight="1" x14ac:dyDescent="0.2">
      <c r="A514" s="6"/>
    </row>
    <row r="515" spans="1:1" ht="15.75" customHeight="1" x14ac:dyDescent="0.2">
      <c r="A515" s="6"/>
    </row>
    <row r="516" spans="1:1" ht="15.75" customHeight="1" x14ac:dyDescent="0.2">
      <c r="A516" s="6"/>
    </row>
    <row r="517" spans="1:1" ht="15.75" customHeight="1" x14ac:dyDescent="0.2">
      <c r="A517" s="6"/>
    </row>
    <row r="518" spans="1:1" ht="15.75" customHeight="1" x14ac:dyDescent="0.2">
      <c r="A518" s="6"/>
    </row>
    <row r="519" spans="1:1" ht="15.75" customHeight="1" x14ac:dyDescent="0.2">
      <c r="A519" s="6"/>
    </row>
    <row r="520" spans="1:1" ht="15.75" customHeight="1" x14ac:dyDescent="0.2">
      <c r="A520" s="6"/>
    </row>
    <row r="521" spans="1:1" ht="15.75" customHeight="1" x14ac:dyDescent="0.2">
      <c r="A521" s="6"/>
    </row>
    <row r="522" spans="1:1" ht="15.75" customHeight="1" x14ac:dyDescent="0.2">
      <c r="A522" s="6"/>
    </row>
    <row r="523" spans="1:1" ht="15.75" customHeight="1" x14ac:dyDescent="0.2">
      <c r="A523" s="6"/>
    </row>
    <row r="524" spans="1:1" ht="15.75" customHeight="1" x14ac:dyDescent="0.2">
      <c r="A524" s="6"/>
    </row>
    <row r="525" spans="1:1" ht="15.75" customHeight="1" x14ac:dyDescent="0.2">
      <c r="A525" s="6"/>
    </row>
    <row r="526" spans="1:1" ht="15.75" customHeight="1" x14ac:dyDescent="0.2">
      <c r="A526" s="6"/>
    </row>
    <row r="527" spans="1:1" ht="15.75" customHeight="1" x14ac:dyDescent="0.2">
      <c r="A527" s="6"/>
    </row>
    <row r="528" spans="1:1" ht="15.75" customHeight="1" x14ac:dyDescent="0.2">
      <c r="A528" s="6"/>
    </row>
    <row r="529" spans="1:1" ht="15.75" customHeight="1" x14ac:dyDescent="0.2">
      <c r="A529" s="6"/>
    </row>
    <row r="530" spans="1:1" ht="15.75" customHeight="1" x14ac:dyDescent="0.2">
      <c r="A530" s="6"/>
    </row>
    <row r="531" spans="1:1" ht="15.75" customHeight="1" x14ac:dyDescent="0.2">
      <c r="A531" s="6"/>
    </row>
    <row r="532" spans="1:1" ht="15.75" customHeight="1" x14ac:dyDescent="0.2">
      <c r="A532" s="6"/>
    </row>
    <row r="533" spans="1:1" ht="15.75" customHeight="1" x14ac:dyDescent="0.2">
      <c r="A533" s="6"/>
    </row>
    <row r="534" spans="1:1" ht="15.75" customHeight="1" x14ac:dyDescent="0.2">
      <c r="A534" s="6"/>
    </row>
    <row r="535" spans="1:1" ht="15.75" customHeight="1" x14ac:dyDescent="0.2">
      <c r="A535" s="6"/>
    </row>
    <row r="536" spans="1:1" ht="15.75" customHeight="1" x14ac:dyDescent="0.2">
      <c r="A536" s="6"/>
    </row>
    <row r="537" spans="1:1" ht="15.75" customHeight="1" x14ac:dyDescent="0.2">
      <c r="A537" s="6"/>
    </row>
    <row r="538" spans="1:1" ht="15.75" customHeight="1" x14ac:dyDescent="0.2">
      <c r="A538" s="6"/>
    </row>
    <row r="539" spans="1:1" ht="15.75" customHeight="1" x14ac:dyDescent="0.2">
      <c r="A539" s="6"/>
    </row>
    <row r="540" spans="1:1" ht="15.75" customHeight="1" x14ac:dyDescent="0.2">
      <c r="A540" s="6"/>
    </row>
    <row r="541" spans="1:1" ht="15.75" customHeight="1" x14ac:dyDescent="0.2">
      <c r="A541" s="6"/>
    </row>
    <row r="542" spans="1:1" ht="15.75" customHeight="1" x14ac:dyDescent="0.2">
      <c r="A542" s="6"/>
    </row>
    <row r="543" spans="1:1" ht="15.75" customHeight="1" x14ac:dyDescent="0.2">
      <c r="A543" s="6"/>
    </row>
    <row r="544" spans="1:1" ht="15.75" customHeight="1" x14ac:dyDescent="0.2">
      <c r="A544" s="6"/>
    </row>
    <row r="545" spans="1:1" ht="15.75" customHeight="1" x14ac:dyDescent="0.2">
      <c r="A545" s="6"/>
    </row>
    <row r="546" spans="1:1" ht="15.75" customHeight="1" x14ac:dyDescent="0.2">
      <c r="A546" s="6"/>
    </row>
    <row r="547" spans="1:1" ht="15.75" customHeight="1" x14ac:dyDescent="0.2">
      <c r="A547" s="6"/>
    </row>
    <row r="548" spans="1:1" ht="15.75" customHeight="1" x14ac:dyDescent="0.2">
      <c r="A548" s="6"/>
    </row>
    <row r="549" spans="1:1" ht="15.75" customHeight="1" x14ac:dyDescent="0.2">
      <c r="A549" s="6"/>
    </row>
    <row r="550" spans="1:1" ht="15.75" customHeight="1" x14ac:dyDescent="0.2">
      <c r="A550" s="6"/>
    </row>
    <row r="551" spans="1:1" ht="15.75" customHeight="1" x14ac:dyDescent="0.2">
      <c r="A551" s="6"/>
    </row>
    <row r="552" spans="1:1" ht="15.75" customHeight="1" x14ac:dyDescent="0.2">
      <c r="A552" s="6"/>
    </row>
    <row r="553" spans="1:1" ht="15.75" customHeight="1" x14ac:dyDescent="0.2">
      <c r="A553" s="6"/>
    </row>
    <row r="554" spans="1:1" ht="15.75" customHeight="1" x14ac:dyDescent="0.2">
      <c r="A554" s="6"/>
    </row>
    <row r="555" spans="1:1" ht="15.75" customHeight="1" x14ac:dyDescent="0.2">
      <c r="A555" s="6"/>
    </row>
    <row r="556" spans="1:1" ht="15.75" customHeight="1" x14ac:dyDescent="0.2">
      <c r="A556" s="6"/>
    </row>
    <row r="557" spans="1:1" ht="15.75" customHeight="1" x14ac:dyDescent="0.2">
      <c r="A557" s="6"/>
    </row>
    <row r="558" spans="1:1" ht="15.75" customHeight="1" x14ac:dyDescent="0.2">
      <c r="A558" s="6"/>
    </row>
    <row r="559" spans="1:1" ht="15.75" customHeight="1" x14ac:dyDescent="0.2">
      <c r="A559" s="6"/>
    </row>
    <row r="560" spans="1:1" ht="15.75" customHeight="1" x14ac:dyDescent="0.2">
      <c r="A560" s="6"/>
    </row>
    <row r="561" spans="1:1" ht="15.75" customHeight="1" x14ac:dyDescent="0.2">
      <c r="A561" s="6"/>
    </row>
    <row r="562" spans="1:1" ht="15.75" customHeight="1" x14ac:dyDescent="0.2">
      <c r="A562" s="6"/>
    </row>
    <row r="563" spans="1:1" ht="15.75" customHeight="1" x14ac:dyDescent="0.2">
      <c r="A563" s="6"/>
    </row>
    <row r="564" spans="1:1" ht="15.75" customHeight="1" x14ac:dyDescent="0.2">
      <c r="A564" s="6"/>
    </row>
    <row r="565" spans="1:1" ht="15.75" customHeight="1" x14ac:dyDescent="0.2">
      <c r="A565" s="6"/>
    </row>
    <row r="566" spans="1:1" ht="15.75" customHeight="1" x14ac:dyDescent="0.2">
      <c r="A566" s="6"/>
    </row>
    <row r="567" spans="1:1" ht="15.75" customHeight="1" x14ac:dyDescent="0.2">
      <c r="A567" s="6"/>
    </row>
    <row r="568" spans="1:1" ht="15.75" customHeight="1" x14ac:dyDescent="0.2">
      <c r="A568" s="6"/>
    </row>
    <row r="569" spans="1:1" ht="15.75" customHeight="1" x14ac:dyDescent="0.2">
      <c r="A569" s="6"/>
    </row>
    <row r="570" spans="1:1" ht="15.75" customHeight="1" x14ac:dyDescent="0.2">
      <c r="A570" s="6"/>
    </row>
    <row r="571" spans="1:1" ht="15.75" customHeight="1" x14ac:dyDescent="0.2">
      <c r="A571" s="6"/>
    </row>
    <row r="572" spans="1:1" ht="15.75" customHeight="1" x14ac:dyDescent="0.2">
      <c r="A572" s="6"/>
    </row>
    <row r="573" spans="1:1" ht="15.75" customHeight="1" x14ac:dyDescent="0.2">
      <c r="A573" s="6"/>
    </row>
    <row r="574" spans="1:1" ht="15.75" customHeight="1" x14ac:dyDescent="0.2">
      <c r="A574" s="6"/>
    </row>
    <row r="575" spans="1:1" ht="15.75" customHeight="1" x14ac:dyDescent="0.2">
      <c r="A575" s="6"/>
    </row>
    <row r="576" spans="1:1" ht="15.75" customHeight="1" x14ac:dyDescent="0.2">
      <c r="A576" s="6"/>
    </row>
    <row r="577" spans="1:1" ht="15.75" customHeight="1" x14ac:dyDescent="0.2">
      <c r="A577" s="6"/>
    </row>
    <row r="578" spans="1:1" ht="15.75" customHeight="1" x14ac:dyDescent="0.2">
      <c r="A578" s="6"/>
    </row>
    <row r="579" spans="1:1" ht="15.75" customHeight="1" x14ac:dyDescent="0.2">
      <c r="A579" s="6"/>
    </row>
    <row r="580" spans="1:1" ht="15.75" customHeight="1" x14ac:dyDescent="0.2">
      <c r="A580" s="6"/>
    </row>
    <row r="581" spans="1:1" ht="15.75" customHeight="1" x14ac:dyDescent="0.2">
      <c r="A581" s="6"/>
    </row>
    <row r="582" spans="1:1" ht="15.75" customHeight="1" x14ac:dyDescent="0.2">
      <c r="A582" s="6"/>
    </row>
    <row r="583" spans="1:1" ht="15.75" customHeight="1" x14ac:dyDescent="0.2">
      <c r="A583" s="6"/>
    </row>
    <row r="584" spans="1:1" ht="15.75" customHeight="1" x14ac:dyDescent="0.2">
      <c r="A584" s="6"/>
    </row>
    <row r="585" spans="1:1" ht="15.75" customHeight="1" x14ac:dyDescent="0.2">
      <c r="A585" s="6"/>
    </row>
    <row r="586" spans="1:1" ht="15.75" customHeight="1" x14ac:dyDescent="0.2">
      <c r="A586" s="6"/>
    </row>
    <row r="587" spans="1:1" ht="15.75" customHeight="1" x14ac:dyDescent="0.2">
      <c r="A587" s="6"/>
    </row>
    <row r="588" spans="1:1" ht="15.75" customHeight="1" x14ac:dyDescent="0.2">
      <c r="A588" s="6"/>
    </row>
    <row r="589" spans="1:1" ht="15.75" customHeight="1" x14ac:dyDescent="0.2">
      <c r="A589" s="6"/>
    </row>
    <row r="590" spans="1:1" ht="15.75" customHeight="1" x14ac:dyDescent="0.2">
      <c r="A590" s="6"/>
    </row>
    <row r="591" spans="1:1" ht="15.75" customHeight="1" x14ac:dyDescent="0.2">
      <c r="A591" s="6"/>
    </row>
    <row r="592" spans="1:1" ht="15.75" customHeight="1" x14ac:dyDescent="0.2">
      <c r="A592" s="6"/>
    </row>
    <row r="593" spans="1:1" ht="15.75" customHeight="1" x14ac:dyDescent="0.2">
      <c r="A593" s="6"/>
    </row>
    <row r="594" spans="1:1" ht="15.75" customHeight="1" x14ac:dyDescent="0.2">
      <c r="A594" s="6"/>
    </row>
    <row r="595" spans="1:1" ht="15.75" customHeight="1" x14ac:dyDescent="0.2">
      <c r="A595" s="6"/>
    </row>
    <row r="596" spans="1:1" ht="15.75" customHeight="1" x14ac:dyDescent="0.2">
      <c r="A596" s="6"/>
    </row>
    <row r="597" spans="1:1" ht="15.75" customHeight="1" x14ac:dyDescent="0.2">
      <c r="A597" s="6"/>
    </row>
    <row r="598" spans="1:1" ht="15.75" customHeight="1" x14ac:dyDescent="0.2">
      <c r="A598" s="6"/>
    </row>
    <row r="599" spans="1:1" ht="15.75" customHeight="1" x14ac:dyDescent="0.2">
      <c r="A599" s="6"/>
    </row>
    <row r="600" spans="1:1" ht="15.75" customHeight="1" x14ac:dyDescent="0.2">
      <c r="A600" s="6"/>
    </row>
    <row r="601" spans="1:1" ht="15.75" customHeight="1" x14ac:dyDescent="0.2">
      <c r="A601" s="6"/>
    </row>
    <row r="602" spans="1:1" ht="15.75" customHeight="1" x14ac:dyDescent="0.2">
      <c r="A602" s="6"/>
    </row>
    <row r="603" spans="1:1" ht="15.75" customHeight="1" x14ac:dyDescent="0.2">
      <c r="A603" s="6"/>
    </row>
    <row r="604" spans="1:1" ht="15.75" customHeight="1" x14ac:dyDescent="0.2">
      <c r="A604" s="6"/>
    </row>
    <row r="605" spans="1:1" ht="15.75" customHeight="1" x14ac:dyDescent="0.2">
      <c r="A605" s="6"/>
    </row>
    <row r="606" spans="1:1" ht="15.75" customHeight="1" x14ac:dyDescent="0.2">
      <c r="A606" s="6"/>
    </row>
    <row r="607" spans="1:1" ht="15.75" customHeight="1" x14ac:dyDescent="0.2">
      <c r="A607" s="6"/>
    </row>
    <row r="608" spans="1:1" ht="15.75" customHeight="1" x14ac:dyDescent="0.2">
      <c r="A608" s="6"/>
    </row>
    <row r="609" spans="1:1" ht="15.75" customHeight="1" x14ac:dyDescent="0.2">
      <c r="A609" s="6"/>
    </row>
    <row r="610" spans="1:1" ht="15.75" customHeight="1" x14ac:dyDescent="0.2">
      <c r="A610" s="6"/>
    </row>
    <row r="611" spans="1:1" ht="15.75" customHeight="1" x14ac:dyDescent="0.2">
      <c r="A611" s="6"/>
    </row>
    <row r="612" spans="1:1" ht="15.75" customHeight="1" x14ac:dyDescent="0.2">
      <c r="A612" s="6"/>
    </row>
    <row r="613" spans="1:1" ht="15.75" customHeight="1" x14ac:dyDescent="0.2">
      <c r="A613" s="6"/>
    </row>
    <row r="614" spans="1:1" ht="15.75" customHeight="1" x14ac:dyDescent="0.2">
      <c r="A614" s="6"/>
    </row>
    <row r="615" spans="1:1" ht="15.75" customHeight="1" x14ac:dyDescent="0.2">
      <c r="A615" s="6"/>
    </row>
    <row r="616" spans="1:1" ht="15.75" customHeight="1" x14ac:dyDescent="0.2">
      <c r="A616" s="6"/>
    </row>
    <row r="617" spans="1:1" ht="15.75" customHeight="1" x14ac:dyDescent="0.2">
      <c r="A617" s="6"/>
    </row>
    <row r="618" spans="1:1" ht="15.75" customHeight="1" x14ac:dyDescent="0.2">
      <c r="A618" s="6"/>
    </row>
    <row r="619" spans="1:1" ht="15.75" customHeight="1" x14ac:dyDescent="0.2">
      <c r="A619" s="6"/>
    </row>
    <row r="620" spans="1:1" ht="15.75" customHeight="1" x14ac:dyDescent="0.2">
      <c r="A620" s="6"/>
    </row>
    <row r="621" spans="1:1" ht="15.75" customHeight="1" x14ac:dyDescent="0.2">
      <c r="A621" s="6"/>
    </row>
    <row r="622" spans="1:1" ht="15.75" customHeight="1" x14ac:dyDescent="0.2">
      <c r="A622" s="6"/>
    </row>
    <row r="623" spans="1:1" ht="15.75" customHeight="1" x14ac:dyDescent="0.2">
      <c r="A623" s="6"/>
    </row>
    <row r="624" spans="1:1" ht="15.75" customHeight="1" x14ac:dyDescent="0.2">
      <c r="A624" s="6"/>
    </row>
    <row r="625" spans="1:1" ht="15.75" customHeight="1" x14ac:dyDescent="0.2">
      <c r="A625" s="6"/>
    </row>
    <row r="626" spans="1:1" ht="15.75" customHeight="1" x14ac:dyDescent="0.2">
      <c r="A626" s="6"/>
    </row>
    <row r="627" spans="1:1" ht="15.75" customHeight="1" x14ac:dyDescent="0.2">
      <c r="A627" s="6"/>
    </row>
    <row r="628" spans="1:1" ht="15.75" customHeight="1" x14ac:dyDescent="0.2">
      <c r="A628" s="6"/>
    </row>
    <row r="629" spans="1:1" ht="15.75" customHeight="1" x14ac:dyDescent="0.2">
      <c r="A629" s="6"/>
    </row>
    <row r="630" spans="1:1" ht="15.75" customHeight="1" x14ac:dyDescent="0.2">
      <c r="A630" s="6"/>
    </row>
    <row r="631" spans="1:1" ht="15.75" customHeight="1" x14ac:dyDescent="0.2">
      <c r="A631" s="6"/>
    </row>
    <row r="632" spans="1:1" ht="15.75" customHeight="1" x14ac:dyDescent="0.2">
      <c r="A632" s="6"/>
    </row>
    <row r="633" spans="1:1" ht="15.75" customHeight="1" x14ac:dyDescent="0.2">
      <c r="A633" s="6"/>
    </row>
    <row r="634" spans="1:1" ht="15.75" customHeight="1" x14ac:dyDescent="0.2">
      <c r="A634" s="6"/>
    </row>
    <row r="635" spans="1:1" ht="15.75" customHeight="1" x14ac:dyDescent="0.2">
      <c r="A635" s="6"/>
    </row>
    <row r="636" spans="1:1" ht="15.75" customHeight="1" x14ac:dyDescent="0.2">
      <c r="A636" s="6"/>
    </row>
    <row r="637" spans="1:1" ht="15.75" customHeight="1" x14ac:dyDescent="0.2">
      <c r="A637" s="6"/>
    </row>
    <row r="638" spans="1:1" ht="15.75" customHeight="1" x14ac:dyDescent="0.2">
      <c r="A638" s="6"/>
    </row>
    <row r="639" spans="1:1" ht="15.75" customHeight="1" x14ac:dyDescent="0.2">
      <c r="A639" s="6"/>
    </row>
    <row r="640" spans="1:1" ht="15.75" customHeight="1" x14ac:dyDescent="0.2">
      <c r="A640" s="6"/>
    </row>
    <row r="641" spans="1:1" ht="15.75" customHeight="1" x14ac:dyDescent="0.2">
      <c r="A641" s="6"/>
    </row>
    <row r="642" spans="1:1" ht="15.75" customHeight="1" x14ac:dyDescent="0.2">
      <c r="A642" s="6"/>
    </row>
    <row r="643" spans="1:1" ht="15.75" customHeight="1" x14ac:dyDescent="0.2">
      <c r="A643" s="6"/>
    </row>
    <row r="644" spans="1:1" ht="15.75" customHeight="1" x14ac:dyDescent="0.2">
      <c r="A644" s="6"/>
    </row>
    <row r="645" spans="1:1" ht="15.75" customHeight="1" x14ac:dyDescent="0.2">
      <c r="A645" s="6"/>
    </row>
    <row r="646" spans="1:1" ht="15.75" customHeight="1" x14ac:dyDescent="0.2">
      <c r="A646" s="6"/>
    </row>
    <row r="647" spans="1:1" ht="15.75" customHeight="1" x14ac:dyDescent="0.2">
      <c r="A647" s="6"/>
    </row>
    <row r="648" spans="1:1" ht="15.75" customHeight="1" x14ac:dyDescent="0.2">
      <c r="A648" s="6"/>
    </row>
    <row r="649" spans="1:1" ht="15.75" customHeight="1" x14ac:dyDescent="0.2">
      <c r="A649" s="6"/>
    </row>
    <row r="650" spans="1:1" ht="15.75" customHeight="1" x14ac:dyDescent="0.2">
      <c r="A650" s="6"/>
    </row>
    <row r="651" spans="1:1" ht="15.75" customHeight="1" x14ac:dyDescent="0.2">
      <c r="A651" s="6"/>
    </row>
    <row r="652" spans="1:1" ht="15.75" customHeight="1" x14ac:dyDescent="0.2">
      <c r="A652" s="6"/>
    </row>
    <row r="653" spans="1:1" ht="15.75" customHeight="1" x14ac:dyDescent="0.2">
      <c r="A653" s="6"/>
    </row>
    <row r="654" spans="1:1" ht="15.75" customHeight="1" x14ac:dyDescent="0.2">
      <c r="A654" s="6"/>
    </row>
    <row r="655" spans="1:1" ht="15.75" customHeight="1" x14ac:dyDescent="0.2">
      <c r="A655" s="6"/>
    </row>
    <row r="656" spans="1:1" ht="15.75" customHeight="1" x14ac:dyDescent="0.2">
      <c r="A656" s="6"/>
    </row>
    <row r="657" spans="1:1" ht="15.75" customHeight="1" x14ac:dyDescent="0.2">
      <c r="A657" s="6"/>
    </row>
    <row r="658" spans="1:1" ht="15.75" customHeight="1" x14ac:dyDescent="0.2">
      <c r="A658" s="6"/>
    </row>
    <row r="659" spans="1:1" ht="15.75" customHeight="1" x14ac:dyDescent="0.2">
      <c r="A659" s="6"/>
    </row>
    <row r="660" spans="1:1" ht="15.75" customHeight="1" x14ac:dyDescent="0.2">
      <c r="A660" s="6"/>
    </row>
    <row r="661" spans="1:1" ht="15.75" customHeight="1" x14ac:dyDescent="0.2">
      <c r="A661" s="6"/>
    </row>
    <row r="662" spans="1:1" ht="15.75" customHeight="1" x14ac:dyDescent="0.2">
      <c r="A662" s="6"/>
    </row>
    <row r="663" spans="1:1" ht="15.75" customHeight="1" x14ac:dyDescent="0.2">
      <c r="A663" s="6"/>
    </row>
    <row r="664" spans="1:1" ht="15.75" customHeight="1" x14ac:dyDescent="0.2">
      <c r="A664" s="6"/>
    </row>
    <row r="665" spans="1:1" ht="15.75" customHeight="1" x14ac:dyDescent="0.2">
      <c r="A665" s="6"/>
    </row>
    <row r="666" spans="1:1" ht="15.75" customHeight="1" x14ac:dyDescent="0.2">
      <c r="A666" s="6"/>
    </row>
    <row r="667" spans="1:1" ht="15.75" customHeight="1" x14ac:dyDescent="0.2">
      <c r="A667" s="6"/>
    </row>
    <row r="668" spans="1:1" ht="15.75" customHeight="1" x14ac:dyDescent="0.2">
      <c r="A668" s="6"/>
    </row>
    <row r="669" spans="1:1" ht="15.75" customHeight="1" x14ac:dyDescent="0.2">
      <c r="A669" s="6"/>
    </row>
    <row r="670" spans="1:1" ht="15.75" customHeight="1" x14ac:dyDescent="0.2">
      <c r="A670" s="6"/>
    </row>
    <row r="671" spans="1:1" ht="15.75" customHeight="1" x14ac:dyDescent="0.2">
      <c r="A671" s="6"/>
    </row>
    <row r="672" spans="1:1" ht="15.75" customHeight="1" x14ac:dyDescent="0.2">
      <c r="A672" s="6"/>
    </row>
    <row r="673" spans="1:1" ht="15.75" customHeight="1" x14ac:dyDescent="0.2">
      <c r="A673" s="6"/>
    </row>
    <row r="674" spans="1:1" ht="15.75" customHeight="1" x14ac:dyDescent="0.2">
      <c r="A674" s="6"/>
    </row>
    <row r="675" spans="1:1" ht="15.75" customHeight="1" x14ac:dyDescent="0.2">
      <c r="A675" s="6"/>
    </row>
    <row r="676" spans="1:1" ht="15.75" customHeight="1" x14ac:dyDescent="0.2">
      <c r="A676" s="6"/>
    </row>
    <row r="677" spans="1:1" ht="15.75" customHeight="1" x14ac:dyDescent="0.2">
      <c r="A677" s="6"/>
    </row>
    <row r="678" spans="1:1" ht="15.75" customHeight="1" x14ac:dyDescent="0.2">
      <c r="A678" s="6"/>
    </row>
    <row r="679" spans="1:1" ht="15.75" customHeight="1" x14ac:dyDescent="0.2">
      <c r="A679" s="6"/>
    </row>
    <row r="680" spans="1:1" ht="15.75" customHeight="1" x14ac:dyDescent="0.2">
      <c r="A680" s="6"/>
    </row>
    <row r="681" spans="1:1" ht="15.75" customHeight="1" x14ac:dyDescent="0.2">
      <c r="A681" s="6"/>
    </row>
    <row r="682" spans="1:1" ht="15.75" customHeight="1" x14ac:dyDescent="0.2">
      <c r="A682" s="6"/>
    </row>
    <row r="683" spans="1:1" ht="15.75" customHeight="1" x14ac:dyDescent="0.2">
      <c r="A683" s="6"/>
    </row>
    <row r="684" spans="1:1" ht="15.75" customHeight="1" x14ac:dyDescent="0.2">
      <c r="A684" s="6"/>
    </row>
    <row r="685" spans="1:1" ht="15.75" customHeight="1" x14ac:dyDescent="0.2">
      <c r="A685" s="6"/>
    </row>
    <row r="686" spans="1:1" ht="15.75" customHeight="1" x14ac:dyDescent="0.2">
      <c r="A686" s="6"/>
    </row>
    <row r="687" spans="1:1" ht="15.75" customHeight="1" x14ac:dyDescent="0.2">
      <c r="A687" s="6"/>
    </row>
    <row r="688" spans="1:1" ht="15.75" customHeight="1" x14ac:dyDescent="0.2">
      <c r="A688" s="6"/>
    </row>
    <row r="689" spans="1:1" ht="15.75" customHeight="1" x14ac:dyDescent="0.2">
      <c r="A689" s="6"/>
    </row>
    <row r="690" spans="1:1" ht="15.75" customHeight="1" x14ac:dyDescent="0.2">
      <c r="A690" s="6"/>
    </row>
    <row r="691" spans="1:1" ht="15.75" customHeight="1" x14ac:dyDescent="0.2">
      <c r="A691" s="6"/>
    </row>
    <row r="692" spans="1:1" ht="15.75" customHeight="1" x14ac:dyDescent="0.2">
      <c r="A692" s="6"/>
    </row>
    <row r="693" spans="1:1" ht="15.75" customHeight="1" x14ac:dyDescent="0.2">
      <c r="A693" s="6"/>
    </row>
    <row r="694" spans="1:1" ht="15.75" customHeight="1" x14ac:dyDescent="0.2">
      <c r="A694" s="6"/>
    </row>
    <row r="695" spans="1:1" ht="15.75" customHeight="1" x14ac:dyDescent="0.2">
      <c r="A695" s="6"/>
    </row>
    <row r="696" spans="1:1" ht="15.75" customHeight="1" x14ac:dyDescent="0.2">
      <c r="A696" s="6"/>
    </row>
    <row r="697" spans="1:1" ht="15.75" customHeight="1" x14ac:dyDescent="0.2">
      <c r="A697" s="6"/>
    </row>
    <row r="698" spans="1:1" ht="15.75" customHeight="1" x14ac:dyDescent="0.2">
      <c r="A698" s="6"/>
    </row>
    <row r="699" spans="1:1" ht="15.75" customHeight="1" x14ac:dyDescent="0.2">
      <c r="A699" s="6"/>
    </row>
    <row r="700" spans="1:1" ht="15.75" customHeight="1" x14ac:dyDescent="0.2">
      <c r="A700" s="6"/>
    </row>
    <row r="701" spans="1:1" ht="15.75" customHeight="1" x14ac:dyDescent="0.2">
      <c r="A701" s="6"/>
    </row>
    <row r="702" spans="1:1" ht="15.75" customHeight="1" x14ac:dyDescent="0.2">
      <c r="A702" s="6"/>
    </row>
    <row r="703" spans="1:1" ht="15.75" customHeight="1" x14ac:dyDescent="0.2">
      <c r="A703" s="6"/>
    </row>
    <row r="704" spans="1:1" ht="15.75" customHeight="1" x14ac:dyDescent="0.2">
      <c r="A704" s="6"/>
    </row>
    <row r="705" spans="1:1" ht="15.75" customHeight="1" x14ac:dyDescent="0.2">
      <c r="A705" s="6"/>
    </row>
    <row r="706" spans="1:1" ht="15.75" customHeight="1" x14ac:dyDescent="0.2">
      <c r="A706" s="6"/>
    </row>
    <row r="707" spans="1:1" ht="15.75" customHeight="1" x14ac:dyDescent="0.2">
      <c r="A707" s="6"/>
    </row>
    <row r="708" spans="1:1" ht="15.75" customHeight="1" x14ac:dyDescent="0.2">
      <c r="A708" s="6"/>
    </row>
    <row r="709" spans="1:1" ht="15.75" customHeight="1" x14ac:dyDescent="0.2">
      <c r="A709" s="6"/>
    </row>
    <row r="710" spans="1:1" ht="15.75" customHeight="1" x14ac:dyDescent="0.2">
      <c r="A710" s="6"/>
    </row>
    <row r="711" spans="1:1" ht="15.75" customHeight="1" x14ac:dyDescent="0.2">
      <c r="A711" s="6"/>
    </row>
    <row r="712" spans="1:1" ht="15.75" customHeight="1" x14ac:dyDescent="0.2">
      <c r="A712" s="6"/>
    </row>
    <row r="713" spans="1:1" ht="15.75" customHeight="1" x14ac:dyDescent="0.2">
      <c r="A713" s="6"/>
    </row>
    <row r="714" spans="1:1" ht="15.75" customHeight="1" x14ac:dyDescent="0.2">
      <c r="A714" s="6"/>
    </row>
    <row r="715" spans="1:1" ht="15.75" customHeight="1" x14ac:dyDescent="0.2">
      <c r="A715" s="6"/>
    </row>
    <row r="716" spans="1:1" ht="15.75" customHeight="1" x14ac:dyDescent="0.2">
      <c r="A716" s="6"/>
    </row>
    <row r="717" spans="1:1" ht="15.75" customHeight="1" x14ac:dyDescent="0.2">
      <c r="A717" s="6"/>
    </row>
    <row r="718" spans="1:1" ht="15.75" customHeight="1" x14ac:dyDescent="0.2">
      <c r="A718" s="6"/>
    </row>
    <row r="719" spans="1:1" ht="15.75" customHeight="1" x14ac:dyDescent="0.2">
      <c r="A719" s="6"/>
    </row>
    <row r="720" spans="1:1" ht="15.75" customHeight="1" x14ac:dyDescent="0.2">
      <c r="A720" s="6"/>
    </row>
    <row r="721" spans="1:1" ht="15.75" customHeight="1" x14ac:dyDescent="0.2">
      <c r="A721" s="6"/>
    </row>
    <row r="722" spans="1:1" ht="15.75" customHeight="1" x14ac:dyDescent="0.2">
      <c r="A722" s="6"/>
    </row>
    <row r="723" spans="1:1" ht="15.75" customHeight="1" x14ac:dyDescent="0.2">
      <c r="A723" s="6"/>
    </row>
    <row r="724" spans="1:1" ht="15.75" customHeight="1" x14ac:dyDescent="0.2">
      <c r="A724" s="6"/>
    </row>
    <row r="725" spans="1:1" ht="15.75" customHeight="1" x14ac:dyDescent="0.2">
      <c r="A725" s="6"/>
    </row>
    <row r="726" spans="1:1" ht="15.75" customHeight="1" x14ac:dyDescent="0.2">
      <c r="A726" s="6"/>
    </row>
    <row r="727" spans="1:1" ht="15.75" customHeight="1" x14ac:dyDescent="0.2">
      <c r="A727" s="6"/>
    </row>
    <row r="728" spans="1:1" ht="15.75" customHeight="1" x14ac:dyDescent="0.2">
      <c r="A728" s="6"/>
    </row>
    <row r="729" spans="1:1" ht="15.75" customHeight="1" x14ac:dyDescent="0.2">
      <c r="A729" s="6"/>
    </row>
    <row r="730" spans="1:1" ht="15.75" customHeight="1" x14ac:dyDescent="0.2">
      <c r="A730" s="6"/>
    </row>
    <row r="731" spans="1:1" ht="15.75" customHeight="1" x14ac:dyDescent="0.2">
      <c r="A731" s="6"/>
    </row>
    <row r="732" spans="1:1" ht="15.75" customHeight="1" x14ac:dyDescent="0.2">
      <c r="A732" s="6"/>
    </row>
    <row r="733" spans="1:1" ht="15.75" customHeight="1" x14ac:dyDescent="0.2">
      <c r="A733" s="6"/>
    </row>
    <row r="734" spans="1:1" ht="15.75" customHeight="1" x14ac:dyDescent="0.2">
      <c r="A734" s="6"/>
    </row>
    <row r="735" spans="1:1" ht="15.75" customHeight="1" x14ac:dyDescent="0.2">
      <c r="A735" s="6"/>
    </row>
    <row r="736" spans="1:1" ht="15.75" customHeight="1" x14ac:dyDescent="0.2">
      <c r="A736" s="6"/>
    </row>
    <row r="737" spans="1:1" ht="15.75" customHeight="1" x14ac:dyDescent="0.2">
      <c r="A737" s="6"/>
    </row>
    <row r="738" spans="1:1" ht="15.75" customHeight="1" x14ac:dyDescent="0.2">
      <c r="A738" s="6"/>
    </row>
    <row r="739" spans="1:1" ht="15.75" customHeight="1" x14ac:dyDescent="0.2">
      <c r="A739" s="6"/>
    </row>
    <row r="740" spans="1:1" ht="15.75" customHeight="1" x14ac:dyDescent="0.2">
      <c r="A740" s="6"/>
    </row>
    <row r="741" spans="1:1" ht="15.75" customHeight="1" x14ac:dyDescent="0.2">
      <c r="A741" s="6"/>
    </row>
    <row r="742" spans="1:1" ht="15.75" customHeight="1" x14ac:dyDescent="0.2">
      <c r="A742" s="6"/>
    </row>
    <row r="743" spans="1:1" ht="15.75" customHeight="1" x14ac:dyDescent="0.2">
      <c r="A743" s="6"/>
    </row>
    <row r="744" spans="1:1" ht="15.75" customHeight="1" x14ac:dyDescent="0.2">
      <c r="A744" s="6"/>
    </row>
    <row r="745" spans="1:1" ht="15.75" customHeight="1" x14ac:dyDescent="0.2">
      <c r="A745" s="6"/>
    </row>
    <row r="746" spans="1:1" ht="15.75" customHeight="1" x14ac:dyDescent="0.2">
      <c r="A746" s="6"/>
    </row>
    <row r="747" spans="1:1" ht="15.75" customHeight="1" x14ac:dyDescent="0.2">
      <c r="A747" s="6"/>
    </row>
    <row r="748" spans="1:1" ht="15.75" customHeight="1" x14ac:dyDescent="0.2">
      <c r="A748" s="6"/>
    </row>
    <row r="749" spans="1:1" ht="15.75" customHeight="1" x14ac:dyDescent="0.2">
      <c r="A749" s="6"/>
    </row>
    <row r="750" spans="1:1" ht="15.75" customHeight="1" x14ac:dyDescent="0.2">
      <c r="A750" s="6"/>
    </row>
    <row r="751" spans="1:1" ht="15.75" customHeight="1" x14ac:dyDescent="0.2">
      <c r="A751" s="6"/>
    </row>
    <row r="752" spans="1:1" ht="15.75" customHeight="1" x14ac:dyDescent="0.2">
      <c r="A752" s="6"/>
    </row>
    <row r="753" spans="1:1" ht="15.75" customHeight="1" x14ac:dyDescent="0.2">
      <c r="A753" s="6"/>
    </row>
    <row r="754" spans="1:1" ht="15.75" customHeight="1" x14ac:dyDescent="0.2">
      <c r="A754" s="6"/>
    </row>
    <row r="755" spans="1:1" ht="15.75" customHeight="1" x14ac:dyDescent="0.2">
      <c r="A755" s="6"/>
    </row>
    <row r="756" spans="1:1" ht="15.75" customHeight="1" x14ac:dyDescent="0.2">
      <c r="A756" s="6"/>
    </row>
    <row r="757" spans="1:1" ht="15.75" customHeight="1" x14ac:dyDescent="0.2">
      <c r="A757" s="6"/>
    </row>
    <row r="758" spans="1:1" ht="15.75" customHeight="1" x14ac:dyDescent="0.2">
      <c r="A758" s="6"/>
    </row>
    <row r="759" spans="1:1" ht="15.75" customHeight="1" x14ac:dyDescent="0.2">
      <c r="A759" s="6"/>
    </row>
    <row r="760" spans="1:1" ht="15.75" customHeight="1" x14ac:dyDescent="0.2">
      <c r="A760" s="6"/>
    </row>
    <row r="761" spans="1:1" ht="15.75" customHeight="1" x14ac:dyDescent="0.2">
      <c r="A761" s="6"/>
    </row>
    <row r="762" spans="1:1" ht="15.75" customHeight="1" x14ac:dyDescent="0.2">
      <c r="A762" s="6"/>
    </row>
    <row r="763" spans="1:1" ht="15.75" customHeight="1" x14ac:dyDescent="0.2">
      <c r="A763" s="6"/>
    </row>
    <row r="764" spans="1:1" ht="15.75" customHeight="1" x14ac:dyDescent="0.2">
      <c r="A764" s="6"/>
    </row>
    <row r="765" spans="1:1" ht="15.75" customHeight="1" x14ac:dyDescent="0.2">
      <c r="A765" s="6"/>
    </row>
    <row r="766" spans="1:1" ht="15.75" customHeight="1" x14ac:dyDescent="0.2">
      <c r="A766" s="6"/>
    </row>
    <row r="767" spans="1:1" ht="15.75" customHeight="1" x14ac:dyDescent="0.2">
      <c r="A767" s="6"/>
    </row>
    <row r="768" spans="1:1" ht="15.75" customHeight="1" x14ac:dyDescent="0.2">
      <c r="A768" s="6"/>
    </row>
    <row r="769" spans="1:1" ht="15.75" customHeight="1" x14ac:dyDescent="0.2">
      <c r="A769" s="6"/>
    </row>
    <row r="770" spans="1:1" ht="15.75" customHeight="1" x14ac:dyDescent="0.2">
      <c r="A770" s="6"/>
    </row>
    <row r="771" spans="1:1" ht="15.75" customHeight="1" x14ac:dyDescent="0.2">
      <c r="A771" s="6"/>
    </row>
    <row r="772" spans="1:1" ht="15.75" customHeight="1" x14ac:dyDescent="0.2">
      <c r="A772" s="6"/>
    </row>
    <row r="773" spans="1:1" ht="15.75" customHeight="1" x14ac:dyDescent="0.2">
      <c r="A773" s="6"/>
    </row>
    <row r="774" spans="1:1" ht="15.75" customHeight="1" x14ac:dyDescent="0.2">
      <c r="A774" s="6"/>
    </row>
    <row r="775" spans="1:1" ht="15.75" customHeight="1" x14ac:dyDescent="0.2">
      <c r="A775" s="6"/>
    </row>
    <row r="776" spans="1:1" ht="15.75" customHeight="1" x14ac:dyDescent="0.2">
      <c r="A776" s="6"/>
    </row>
    <row r="777" spans="1:1" ht="15.75" customHeight="1" x14ac:dyDescent="0.2">
      <c r="A777" s="6"/>
    </row>
    <row r="778" spans="1:1" ht="15.75" customHeight="1" x14ac:dyDescent="0.2">
      <c r="A778" s="6"/>
    </row>
    <row r="779" spans="1:1" ht="15.75" customHeight="1" x14ac:dyDescent="0.2">
      <c r="A779" s="6"/>
    </row>
    <row r="780" spans="1:1" ht="15.75" customHeight="1" x14ac:dyDescent="0.2">
      <c r="A780" s="6"/>
    </row>
    <row r="781" spans="1:1" ht="15.75" customHeight="1" x14ac:dyDescent="0.2">
      <c r="A781" s="6"/>
    </row>
    <row r="782" spans="1:1" ht="15.75" customHeight="1" x14ac:dyDescent="0.2">
      <c r="A782" s="6"/>
    </row>
    <row r="783" spans="1:1" ht="15.75" customHeight="1" x14ac:dyDescent="0.2">
      <c r="A783" s="6"/>
    </row>
    <row r="784" spans="1:1" ht="15.75" customHeight="1" x14ac:dyDescent="0.2">
      <c r="A784" s="6"/>
    </row>
    <row r="785" spans="1:1" ht="15.75" customHeight="1" x14ac:dyDescent="0.2">
      <c r="A785" s="6"/>
    </row>
    <row r="786" spans="1:1" ht="15.75" customHeight="1" x14ac:dyDescent="0.2">
      <c r="A786" s="6"/>
    </row>
    <row r="787" spans="1:1" ht="15.75" customHeight="1" x14ac:dyDescent="0.2">
      <c r="A787" s="6"/>
    </row>
    <row r="788" spans="1:1" ht="15.75" customHeight="1" x14ac:dyDescent="0.2">
      <c r="A788" s="6"/>
    </row>
    <row r="789" spans="1:1" ht="15.75" customHeight="1" x14ac:dyDescent="0.2">
      <c r="A789" s="6"/>
    </row>
    <row r="790" spans="1:1" ht="15.75" customHeight="1" x14ac:dyDescent="0.2">
      <c r="A790" s="6"/>
    </row>
    <row r="791" spans="1:1" ht="15.75" customHeight="1" x14ac:dyDescent="0.2">
      <c r="A791" s="6"/>
    </row>
    <row r="792" spans="1:1" ht="15.75" customHeight="1" x14ac:dyDescent="0.2">
      <c r="A792" s="6"/>
    </row>
    <row r="793" spans="1:1" ht="15.75" customHeight="1" x14ac:dyDescent="0.2">
      <c r="A793" s="6"/>
    </row>
    <row r="794" spans="1:1" ht="15.75" customHeight="1" x14ac:dyDescent="0.2">
      <c r="A794" s="6"/>
    </row>
    <row r="795" spans="1:1" ht="15.75" customHeight="1" x14ac:dyDescent="0.2">
      <c r="A795" s="6"/>
    </row>
    <row r="796" spans="1:1" ht="15.75" customHeight="1" x14ac:dyDescent="0.2">
      <c r="A796" s="6"/>
    </row>
    <row r="797" spans="1:1" ht="15.75" customHeight="1" x14ac:dyDescent="0.2">
      <c r="A797" s="6"/>
    </row>
    <row r="798" spans="1:1" ht="15.75" customHeight="1" x14ac:dyDescent="0.2">
      <c r="A798" s="6"/>
    </row>
    <row r="799" spans="1:1" ht="15.75" customHeight="1" x14ac:dyDescent="0.2">
      <c r="A799" s="6"/>
    </row>
    <row r="800" spans="1:1" ht="15.75" customHeight="1" x14ac:dyDescent="0.2">
      <c r="A800" s="6"/>
    </row>
    <row r="801" spans="1:1" ht="15.75" customHeight="1" x14ac:dyDescent="0.2">
      <c r="A801" s="6"/>
    </row>
    <row r="802" spans="1:1" ht="15.75" customHeight="1" x14ac:dyDescent="0.2">
      <c r="A802" s="6"/>
    </row>
    <row r="803" spans="1:1" ht="15.75" customHeight="1" x14ac:dyDescent="0.2">
      <c r="A803" s="6"/>
    </row>
    <row r="804" spans="1:1" ht="15.75" customHeight="1" x14ac:dyDescent="0.2">
      <c r="A804" s="6"/>
    </row>
    <row r="805" spans="1:1" ht="15.75" customHeight="1" x14ac:dyDescent="0.2">
      <c r="A805" s="6"/>
    </row>
    <row r="806" spans="1:1" ht="15.75" customHeight="1" x14ac:dyDescent="0.2">
      <c r="A806" s="6"/>
    </row>
    <row r="807" spans="1:1" ht="15.75" customHeight="1" x14ac:dyDescent="0.2">
      <c r="A807" s="6"/>
    </row>
    <row r="808" spans="1:1" ht="15.75" customHeight="1" x14ac:dyDescent="0.2">
      <c r="A808" s="6"/>
    </row>
    <row r="809" spans="1:1" ht="15.75" customHeight="1" x14ac:dyDescent="0.2">
      <c r="A809" s="6"/>
    </row>
    <row r="810" spans="1:1" ht="15.75" customHeight="1" x14ac:dyDescent="0.2">
      <c r="A810" s="6"/>
    </row>
    <row r="811" spans="1:1" ht="15.75" customHeight="1" x14ac:dyDescent="0.2">
      <c r="A811" s="6"/>
    </row>
    <row r="812" spans="1:1" ht="15.75" customHeight="1" x14ac:dyDescent="0.2">
      <c r="A812" s="6"/>
    </row>
    <row r="813" spans="1:1" ht="15.75" customHeight="1" x14ac:dyDescent="0.2">
      <c r="A813" s="6"/>
    </row>
    <row r="814" spans="1:1" ht="15.75" customHeight="1" x14ac:dyDescent="0.2">
      <c r="A814" s="6"/>
    </row>
    <row r="815" spans="1:1" ht="15.75" customHeight="1" x14ac:dyDescent="0.2">
      <c r="A815" s="6"/>
    </row>
    <row r="816" spans="1:1" ht="15.75" customHeight="1" x14ac:dyDescent="0.2">
      <c r="A816" s="6"/>
    </row>
    <row r="817" spans="1:1" ht="15.75" customHeight="1" x14ac:dyDescent="0.2">
      <c r="A817" s="6"/>
    </row>
    <row r="818" spans="1:1" ht="15.75" customHeight="1" x14ac:dyDescent="0.2">
      <c r="A818" s="6"/>
    </row>
    <row r="819" spans="1:1" ht="15.75" customHeight="1" x14ac:dyDescent="0.2">
      <c r="A819" s="6"/>
    </row>
    <row r="820" spans="1:1" ht="15.75" customHeight="1" x14ac:dyDescent="0.2">
      <c r="A820" s="6"/>
    </row>
    <row r="821" spans="1:1" ht="15.75" customHeight="1" x14ac:dyDescent="0.2">
      <c r="A821" s="6"/>
    </row>
    <row r="822" spans="1:1" ht="15.75" customHeight="1" x14ac:dyDescent="0.2">
      <c r="A822" s="6"/>
    </row>
    <row r="823" spans="1:1" ht="15.75" customHeight="1" x14ac:dyDescent="0.2">
      <c r="A823" s="6"/>
    </row>
    <row r="824" spans="1:1" ht="15.75" customHeight="1" x14ac:dyDescent="0.2">
      <c r="A824" s="6"/>
    </row>
    <row r="825" spans="1:1" ht="15.75" customHeight="1" x14ac:dyDescent="0.2">
      <c r="A825" s="6"/>
    </row>
    <row r="826" spans="1:1" ht="15.75" customHeight="1" x14ac:dyDescent="0.2">
      <c r="A826" s="6"/>
    </row>
    <row r="827" spans="1:1" ht="15.75" customHeight="1" x14ac:dyDescent="0.2">
      <c r="A827" s="6"/>
    </row>
    <row r="828" spans="1:1" ht="15.75" customHeight="1" x14ac:dyDescent="0.2">
      <c r="A828" s="6"/>
    </row>
    <row r="829" spans="1:1" ht="15.75" customHeight="1" x14ac:dyDescent="0.2">
      <c r="A829" s="6"/>
    </row>
    <row r="830" spans="1:1" ht="15.75" customHeight="1" x14ac:dyDescent="0.2">
      <c r="A830" s="6"/>
    </row>
    <row r="831" spans="1:1" ht="15.75" customHeight="1" x14ac:dyDescent="0.2">
      <c r="A831" s="6"/>
    </row>
    <row r="832" spans="1:1" ht="15.75" customHeight="1" x14ac:dyDescent="0.2">
      <c r="A832" s="6"/>
    </row>
    <row r="833" spans="1:1" ht="15.75" customHeight="1" x14ac:dyDescent="0.2">
      <c r="A833" s="6"/>
    </row>
    <row r="834" spans="1:1" ht="15.75" customHeight="1" x14ac:dyDescent="0.2">
      <c r="A834" s="6"/>
    </row>
    <row r="835" spans="1:1" ht="15.75" customHeight="1" x14ac:dyDescent="0.2">
      <c r="A835" s="6"/>
    </row>
    <row r="836" spans="1:1" ht="15.75" customHeight="1" x14ac:dyDescent="0.2">
      <c r="A836" s="6"/>
    </row>
    <row r="837" spans="1:1" ht="15.75" customHeight="1" x14ac:dyDescent="0.2">
      <c r="A837" s="6"/>
    </row>
    <row r="838" spans="1:1" ht="15.75" customHeight="1" x14ac:dyDescent="0.2">
      <c r="A838" s="6"/>
    </row>
    <row r="839" spans="1:1" ht="15.75" customHeight="1" x14ac:dyDescent="0.2">
      <c r="A839" s="6"/>
    </row>
    <row r="840" spans="1:1" ht="15.75" customHeight="1" x14ac:dyDescent="0.2">
      <c r="A840" s="6"/>
    </row>
    <row r="841" spans="1:1" ht="15.75" customHeight="1" x14ac:dyDescent="0.2">
      <c r="A841" s="6"/>
    </row>
    <row r="842" spans="1:1" ht="15.75" customHeight="1" x14ac:dyDescent="0.2">
      <c r="A842" s="6"/>
    </row>
    <row r="843" spans="1:1" ht="15.75" customHeight="1" x14ac:dyDescent="0.2">
      <c r="A843" s="6"/>
    </row>
    <row r="844" spans="1:1" ht="15.75" customHeight="1" x14ac:dyDescent="0.2">
      <c r="A844" s="6"/>
    </row>
    <row r="845" spans="1:1" ht="15.75" customHeight="1" x14ac:dyDescent="0.2">
      <c r="A845" s="6"/>
    </row>
    <row r="846" spans="1:1" ht="15.75" customHeight="1" x14ac:dyDescent="0.2">
      <c r="A846" s="6"/>
    </row>
    <row r="847" spans="1:1" ht="15.75" customHeight="1" x14ac:dyDescent="0.2">
      <c r="A847" s="6"/>
    </row>
    <row r="848" spans="1:1" ht="15.75" customHeight="1" x14ac:dyDescent="0.2">
      <c r="A848" s="6"/>
    </row>
    <row r="849" spans="1:1" ht="15.75" customHeight="1" x14ac:dyDescent="0.2">
      <c r="A849" s="6"/>
    </row>
    <row r="850" spans="1:1" ht="15.75" customHeight="1" x14ac:dyDescent="0.2">
      <c r="A850" s="6"/>
    </row>
    <row r="851" spans="1:1" ht="15.75" customHeight="1" x14ac:dyDescent="0.2">
      <c r="A851" s="6"/>
    </row>
    <row r="852" spans="1:1" ht="15.75" customHeight="1" x14ac:dyDescent="0.2">
      <c r="A852" s="6"/>
    </row>
    <row r="853" spans="1:1" ht="15.75" customHeight="1" x14ac:dyDescent="0.2">
      <c r="A853" s="6"/>
    </row>
    <row r="854" spans="1:1" ht="15.75" customHeight="1" x14ac:dyDescent="0.2">
      <c r="A854" s="6"/>
    </row>
    <row r="855" spans="1:1" ht="15.75" customHeight="1" x14ac:dyDescent="0.2">
      <c r="A855" s="6"/>
    </row>
    <row r="856" spans="1:1" ht="15.75" customHeight="1" x14ac:dyDescent="0.2">
      <c r="A856" s="6"/>
    </row>
    <row r="857" spans="1:1" ht="15.75" customHeight="1" x14ac:dyDescent="0.2">
      <c r="A857" s="6"/>
    </row>
    <row r="858" spans="1:1" ht="15.75" customHeight="1" x14ac:dyDescent="0.2">
      <c r="A858" s="6"/>
    </row>
    <row r="859" spans="1:1" ht="15.75" customHeight="1" x14ac:dyDescent="0.2">
      <c r="A859" s="6"/>
    </row>
    <row r="860" spans="1:1" ht="15.75" customHeight="1" x14ac:dyDescent="0.2">
      <c r="A860" s="6"/>
    </row>
    <row r="861" spans="1:1" ht="15.75" customHeight="1" x14ac:dyDescent="0.2">
      <c r="A861" s="6"/>
    </row>
    <row r="862" spans="1:1" ht="15.75" customHeight="1" x14ac:dyDescent="0.2">
      <c r="A862" s="6"/>
    </row>
    <row r="863" spans="1:1" ht="15.75" customHeight="1" x14ac:dyDescent="0.2">
      <c r="A863" s="6"/>
    </row>
    <row r="864" spans="1:1" ht="15.75" customHeight="1" x14ac:dyDescent="0.2">
      <c r="A864" s="6"/>
    </row>
    <row r="865" spans="1:1" ht="15.75" customHeight="1" x14ac:dyDescent="0.2">
      <c r="A865" s="6"/>
    </row>
    <row r="866" spans="1:1" ht="15.75" customHeight="1" x14ac:dyDescent="0.2">
      <c r="A866" s="6"/>
    </row>
    <row r="867" spans="1:1" ht="15.75" customHeight="1" x14ac:dyDescent="0.2">
      <c r="A867" s="6"/>
    </row>
    <row r="868" spans="1:1" ht="15.75" customHeight="1" x14ac:dyDescent="0.2">
      <c r="A868" s="6"/>
    </row>
    <row r="869" spans="1:1" ht="15.75" customHeight="1" x14ac:dyDescent="0.2">
      <c r="A869" s="6"/>
    </row>
    <row r="870" spans="1:1" ht="15.75" customHeight="1" x14ac:dyDescent="0.2">
      <c r="A870" s="6"/>
    </row>
    <row r="871" spans="1:1" ht="15.75" customHeight="1" x14ac:dyDescent="0.2">
      <c r="A871" s="6"/>
    </row>
    <row r="872" spans="1:1" ht="15.75" customHeight="1" x14ac:dyDescent="0.2">
      <c r="A872" s="6"/>
    </row>
    <row r="873" spans="1:1" ht="15.75" customHeight="1" x14ac:dyDescent="0.2">
      <c r="A873" s="6"/>
    </row>
    <row r="874" spans="1:1" ht="15.75" customHeight="1" x14ac:dyDescent="0.2">
      <c r="A874" s="6"/>
    </row>
    <row r="875" spans="1:1" ht="15.75" customHeight="1" x14ac:dyDescent="0.2">
      <c r="A875" s="6"/>
    </row>
    <row r="876" spans="1:1" ht="15.75" customHeight="1" x14ac:dyDescent="0.2">
      <c r="A876" s="6"/>
    </row>
    <row r="877" spans="1:1" ht="15.75" customHeight="1" x14ac:dyDescent="0.2">
      <c r="A877" s="6"/>
    </row>
    <row r="878" spans="1:1" ht="15.75" customHeight="1" x14ac:dyDescent="0.2">
      <c r="A878" s="6"/>
    </row>
    <row r="879" spans="1:1" ht="15.75" customHeight="1" x14ac:dyDescent="0.2">
      <c r="A879" s="6"/>
    </row>
    <row r="880" spans="1:1" ht="15.75" customHeight="1" x14ac:dyDescent="0.2">
      <c r="A880" s="6"/>
    </row>
    <row r="881" spans="1:1" ht="15.75" customHeight="1" x14ac:dyDescent="0.2">
      <c r="A881" s="6"/>
    </row>
    <row r="882" spans="1:1" ht="15.75" customHeight="1" x14ac:dyDescent="0.2">
      <c r="A882" s="6"/>
    </row>
    <row r="883" spans="1:1" ht="15.75" customHeight="1" x14ac:dyDescent="0.2">
      <c r="A883" s="6"/>
    </row>
    <row r="884" spans="1:1" ht="15.75" customHeight="1" x14ac:dyDescent="0.2">
      <c r="A884" s="6"/>
    </row>
    <row r="885" spans="1:1" ht="15.75" customHeight="1" x14ac:dyDescent="0.2">
      <c r="A885" s="6"/>
    </row>
    <row r="886" spans="1:1" ht="15.75" customHeight="1" x14ac:dyDescent="0.2">
      <c r="A886" s="6"/>
    </row>
    <row r="887" spans="1:1" ht="15.75" customHeight="1" x14ac:dyDescent="0.2">
      <c r="A887" s="6"/>
    </row>
    <row r="888" spans="1:1" ht="15.75" customHeight="1" x14ac:dyDescent="0.2">
      <c r="A888" s="6"/>
    </row>
    <row r="889" spans="1:1" ht="15.75" customHeight="1" x14ac:dyDescent="0.2">
      <c r="A889" s="6"/>
    </row>
    <row r="890" spans="1:1" ht="15.75" customHeight="1" x14ac:dyDescent="0.2">
      <c r="A890" s="6"/>
    </row>
    <row r="891" spans="1:1" ht="15.75" customHeight="1" x14ac:dyDescent="0.2">
      <c r="A891" s="6"/>
    </row>
    <row r="892" spans="1:1" ht="15.75" customHeight="1" x14ac:dyDescent="0.2">
      <c r="A892" s="6"/>
    </row>
    <row r="893" spans="1:1" ht="15.75" customHeight="1" x14ac:dyDescent="0.2">
      <c r="A893" s="6"/>
    </row>
    <row r="894" spans="1:1" ht="15.75" customHeight="1" x14ac:dyDescent="0.2">
      <c r="A894" s="6"/>
    </row>
    <row r="895" spans="1:1" ht="15.75" customHeight="1" x14ac:dyDescent="0.2">
      <c r="A895" s="6"/>
    </row>
    <row r="896" spans="1:1" ht="15.75" customHeight="1" x14ac:dyDescent="0.2">
      <c r="A896" s="6"/>
    </row>
    <row r="897" spans="1:1" ht="15.75" customHeight="1" x14ac:dyDescent="0.2">
      <c r="A897" s="6"/>
    </row>
    <row r="898" spans="1:1" ht="15.75" customHeight="1" x14ac:dyDescent="0.2">
      <c r="A898" s="6"/>
    </row>
    <row r="899" spans="1:1" ht="15.75" customHeight="1" x14ac:dyDescent="0.2">
      <c r="A899" s="6"/>
    </row>
    <row r="900" spans="1:1" ht="15.75" customHeight="1" x14ac:dyDescent="0.2">
      <c r="A900" s="6"/>
    </row>
    <row r="901" spans="1:1" ht="15.75" customHeight="1" x14ac:dyDescent="0.2">
      <c r="A901" s="6"/>
    </row>
    <row r="902" spans="1:1" ht="15.75" customHeight="1" x14ac:dyDescent="0.2">
      <c r="A902" s="6"/>
    </row>
    <row r="903" spans="1:1" ht="15.75" customHeight="1" x14ac:dyDescent="0.2">
      <c r="A903" s="6"/>
    </row>
    <row r="904" spans="1:1" ht="15.75" customHeight="1" x14ac:dyDescent="0.2">
      <c r="A904" s="6"/>
    </row>
    <row r="905" spans="1:1" ht="15.75" customHeight="1" x14ac:dyDescent="0.2">
      <c r="A905" s="6"/>
    </row>
    <row r="906" spans="1:1" ht="15.75" customHeight="1" x14ac:dyDescent="0.2">
      <c r="A906" s="6"/>
    </row>
    <row r="907" spans="1:1" ht="15.75" customHeight="1" x14ac:dyDescent="0.2">
      <c r="A907" s="6"/>
    </row>
    <row r="908" spans="1:1" ht="15.75" customHeight="1" x14ac:dyDescent="0.2">
      <c r="A908" s="6"/>
    </row>
    <row r="909" spans="1:1" ht="15.75" customHeight="1" x14ac:dyDescent="0.2">
      <c r="A909" s="6"/>
    </row>
    <row r="910" spans="1:1" ht="15.75" customHeight="1" x14ac:dyDescent="0.2">
      <c r="A910" s="6"/>
    </row>
    <row r="911" spans="1:1" ht="15.75" customHeight="1" x14ac:dyDescent="0.2">
      <c r="A911" s="6"/>
    </row>
    <row r="912" spans="1:1" ht="15.75" customHeight="1" x14ac:dyDescent="0.2">
      <c r="A912" s="6"/>
    </row>
    <row r="913" spans="1:1" ht="15.75" customHeight="1" x14ac:dyDescent="0.2">
      <c r="A913" s="6"/>
    </row>
    <row r="914" spans="1:1" ht="15.75" customHeight="1" x14ac:dyDescent="0.2">
      <c r="A914" s="6"/>
    </row>
    <row r="915" spans="1:1" ht="15.75" customHeight="1" x14ac:dyDescent="0.2">
      <c r="A915" s="6"/>
    </row>
    <row r="916" spans="1:1" ht="15.75" customHeight="1" x14ac:dyDescent="0.2">
      <c r="A916" s="6"/>
    </row>
    <row r="917" spans="1:1" ht="15.75" customHeight="1" x14ac:dyDescent="0.2">
      <c r="A917" s="6"/>
    </row>
    <row r="918" spans="1:1" ht="15.75" customHeight="1" x14ac:dyDescent="0.2">
      <c r="A918" s="6"/>
    </row>
    <row r="919" spans="1:1" ht="15.75" customHeight="1" x14ac:dyDescent="0.2">
      <c r="A919" s="6"/>
    </row>
    <row r="920" spans="1:1" ht="15.75" customHeight="1" x14ac:dyDescent="0.2">
      <c r="A920" s="6"/>
    </row>
    <row r="921" spans="1:1" ht="15.75" customHeight="1" x14ac:dyDescent="0.2">
      <c r="A921" s="6"/>
    </row>
    <row r="922" spans="1:1" ht="15.75" customHeight="1" x14ac:dyDescent="0.2">
      <c r="A922" s="6"/>
    </row>
    <row r="923" spans="1:1" ht="15.75" customHeight="1" x14ac:dyDescent="0.2">
      <c r="A923" s="6"/>
    </row>
    <row r="924" spans="1:1" ht="15.75" customHeight="1" x14ac:dyDescent="0.2">
      <c r="A924" s="6"/>
    </row>
    <row r="925" spans="1:1" ht="15.75" customHeight="1" x14ac:dyDescent="0.2">
      <c r="A925" s="6"/>
    </row>
    <row r="926" spans="1:1" ht="15.75" customHeight="1" x14ac:dyDescent="0.2">
      <c r="A926" s="6"/>
    </row>
    <row r="927" spans="1:1" ht="15.75" customHeight="1" x14ac:dyDescent="0.2">
      <c r="A927" s="6"/>
    </row>
    <row r="928" spans="1:1" ht="15.75" customHeight="1" x14ac:dyDescent="0.2">
      <c r="A928" s="6"/>
    </row>
    <row r="929" spans="1:1" ht="15.75" customHeight="1" x14ac:dyDescent="0.2">
      <c r="A929" s="6"/>
    </row>
    <row r="930" spans="1:1" ht="15.75" customHeight="1" x14ac:dyDescent="0.2">
      <c r="A930" s="6"/>
    </row>
    <row r="931" spans="1:1" ht="15.75" customHeight="1" x14ac:dyDescent="0.2">
      <c r="A931" s="6"/>
    </row>
    <row r="932" spans="1:1" ht="15.75" customHeight="1" x14ac:dyDescent="0.2">
      <c r="A932" s="6"/>
    </row>
    <row r="933" spans="1:1" ht="15.75" customHeight="1" x14ac:dyDescent="0.2">
      <c r="A933" s="6"/>
    </row>
    <row r="934" spans="1:1" ht="15.75" customHeight="1" x14ac:dyDescent="0.2">
      <c r="A934" s="6"/>
    </row>
    <row r="935" spans="1:1" ht="15.75" customHeight="1" x14ac:dyDescent="0.2">
      <c r="A935" s="6"/>
    </row>
    <row r="936" spans="1:1" ht="15.75" customHeight="1" x14ac:dyDescent="0.2">
      <c r="A936" s="6"/>
    </row>
    <row r="937" spans="1:1" ht="15.75" customHeight="1" x14ac:dyDescent="0.2">
      <c r="A937" s="6"/>
    </row>
    <row r="938" spans="1:1" ht="15.75" customHeight="1" x14ac:dyDescent="0.2">
      <c r="A938" s="6"/>
    </row>
    <row r="939" spans="1:1" ht="15.75" customHeight="1" x14ac:dyDescent="0.2">
      <c r="A939" s="6"/>
    </row>
    <row r="940" spans="1:1" ht="15.75" customHeight="1" x14ac:dyDescent="0.2">
      <c r="A940" s="6"/>
    </row>
    <row r="941" spans="1:1" ht="15.75" customHeight="1" x14ac:dyDescent="0.2">
      <c r="A941" s="6"/>
    </row>
    <row r="942" spans="1:1" ht="15.75" customHeight="1" x14ac:dyDescent="0.2">
      <c r="A942" s="6"/>
    </row>
    <row r="943" spans="1:1" ht="15.75" customHeight="1" x14ac:dyDescent="0.2">
      <c r="A943" s="6"/>
    </row>
    <row r="944" spans="1:1" ht="15.75" customHeight="1" x14ac:dyDescent="0.2">
      <c r="A944" s="6"/>
    </row>
    <row r="945" spans="1:1" ht="15.75" customHeight="1" x14ac:dyDescent="0.2">
      <c r="A945" s="6"/>
    </row>
    <row r="946" spans="1:1" ht="15.75" customHeight="1" x14ac:dyDescent="0.2">
      <c r="A946" s="6"/>
    </row>
    <row r="947" spans="1:1" ht="15.75" customHeight="1" x14ac:dyDescent="0.2">
      <c r="A947" s="6"/>
    </row>
    <row r="948" spans="1:1" ht="15.75" customHeight="1" x14ac:dyDescent="0.2">
      <c r="A948" s="6"/>
    </row>
    <row r="949" spans="1:1" ht="15.75" customHeight="1" x14ac:dyDescent="0.2">
      <c r="A949" s="6"/>
    </row>
    <row r="950" spans="1:1" ht="15.75" customHeight="1" x14ac:dyDescent="0.2">
      <c r="A950" s="6"/>
    </row>
    <row r="951" spans="1:1" ht="15.75" customHeight="1" x14ac:dyDescent="0.2">
      <c r="A951" s="6"/>
    </row>
    <row r="952" spans="1:1" ht="15.75" customHeight="1" x14ac:dyDescent="0.2">
      <c r="A952" s="6"/>
    </row>
    <row r="953" spans="1:1" ht="15.75" customHeight="1" x14ac:dyDescent="0.2">
      <c r="A953" s="6"/>
    </row>
    <row r="954" spans="1:1" ht="15.75" customHeight="1" x14ac:dyDescent="0.2">
      <c r="A954" s="6"/>
    </row>
    <row r="955" spans="1:1" ht="15.75" customHeight="1" x14ac:dyDescent="0.2">
      <c r="A955" s="6"/>
    </row>
    <row r="956" spans="1:1" ht="15.75" customHeight="1" x14ac:dyDescent="0.2">
      <c r="A956" s="6"/>
    </row>
    <row r="957" spans="1:1" ht="15.75" customHeight="1" x14ac:dyDescent="0.2">
      <c r="A957" s="6"/>
    </row>
    <row r="958" spans="1:1" ht="15.75" customHeight="1" x14ac:dyDescent="0.2">
      <c r="A958" s="6"/>
    </row>
    <row r="959" spans="1:1" ht="15.75" customHeight="1" x14ac:dyDescent="0.2">
      <c r="A959" s="6"/>
    </row>
    <row r="960" spans="1:1" ht="15.75" customHeight="1" x14ac:dyDescent="0.2">
      <c r="A960" s="6"/>
    </row>
    <row r="961" spans="1:1" ht="15.75" customHeight="1" x14ac:dyDescent="0.2">
      <c r="A961" s="6"/>
    </row>
    <row r="962" spans="1:1" ht="15.75" customHeight="1" x14ac:dyDescent="0.2">
      <c r="A962" s="6"/>
    </row>
    <row r="963" spans="1:1" ht="15.75" customHeight="1" x14ac:dyDescent="0.2">
      <c r="A963" s="6"/>
    </row>
    <row r="964" spans="1:1" ht="15.75" customHeight="1" x14ac:dyDescent="0.2">
      <c r="A964" s="6"/>
    </row>
    <row r="965" spans="1:1" ht="15.75" customHeight="1" x14ac:dyDescent="0.2">
      <c r="A965" s="6"/>
    </row>
    <row r="966" spans="1:1" ht="15.75" customHeight="1" x14ac:dyDescent="0.2">
      <c r="A966" s="6"/>
    </row>
    <row r="967" spans="1:1" ht="15.75" customHeight="1" x14ac:dyDescent="0.2">
      <c r="A967" s="6"/>
    </row>
    <row r="968" spans="1:1" ht="15.75" customHeight="1" x14ac:dyDescent="0.2">
      <c r="A968" s="6"/>
    </row>
    <row r="969" spans="1:1" ht="15.75" customHeight="1" x14ac:dyDescent="0.2">
      <c r="A969" s="6"/>
    </row>
    <row r="970" spans="1:1" ht="15.75" customHeight="1" x14ac:dyDescent="0.2">
      <c r="A970" s="6"/>
    </row>
    <row r="971" spans="1:1" ht="15.75" customHeight="1" x14ac:dyDescent="0.2">
      <c r="A971" s="6"/>
    </row>
    <row r="972" spans="1:1" ht="15.75" customHeight="1" x14ac:dyDescent="0.2">
      <c r="A972" s="6"/>
    </row>
    <row r="973" spans="1:1" ht="15.75" customHeight="1" x14ac:dyDescent="0.2">
      <c r="A973" s="6"/>
    </row>
    <row r="974" spans="1:1" ht="15.75" customHeight="1" x14ac:dyDescent="0.2">
      <c r="A974" s="6"/>
    </row>
    <row r="975" spans="1:1" ht="15.75" customHeight="1" x14ac:dyDescent="0.2">
      <c r="A975" s="6"/>
    </row>
    <row r="976" spans="1:1" ht="15.75" customHeight="1" x14ac:dyDescent="0.2">
      <c r="A976" s="6"/>
    </row>
    <row r="977" spans="1:1" ht="15.75" customHeight="1" x14ac:dyDescent="0.2">
      <c r="A977" s="6"/>
    </row>
    <row r="978" spans="1:1" ht="15.75" customHeight="1" x14ac:dyDescent="0.2">
      <c r="A978" s="6"/>
    </row>
    <row r="979" spans="1:1" ht="15.75" customHeight="1" x14ac:dyDescent="0.2">
      <c r="A979" s="6"/>
    </row>
    <row r="980" spans="1:1" ht="15.75" customHeight="1" x14ac:dyDescent="0.2">
      <c r="A980" s="6"/>
    </row>
    <row r="981" spans="1:1" ht="15.75" customHeight="1" x14ac:dyDescent="0.2">
      <c r="A981" s="6"/>
    </row>
    <row r="982" spans="1:1" ht="15.75" customHeight="1" x14ac:dyDescent="0.2">
      <c r="A982" s="6"/>
    </row>
    <row r="983" spans="1:1" ht="15.75" customHeight="1" x14ac:dyDescent="0.2">
      <c r="A983" s="6"/>
    </row>
    <row r="984" spans="1:1" ht="15.75" customHeight="1" x14ac:dyDescent="0.2">
      <c r="A984" s="6"/>
    </row>
    <row r="985" spans="1:1" ht="15.75" customHeight="1" x14ac:dyDescent="0.2">
      <c r="A985" s="6"/>
    </row>
    <row r="986" spans="1:1" ht="15.75" customHeight="1" x14ac:dyDescent="0.2">
      <c r="A986" s="6"/>
    </row>
    <row r="987" spans="1:1" ht="15.75" customHeight="1" x14ac:dyDescent="0.2">
      <c r="A987" s="6"/>
    </row>
    <row r="988" spans="1:1" ht="15.75" customHeight="1" x14ac:dyDescent="0.2">
      <c r="A988" s="6"/>
    </row>
    <row r="989" spans="1:1" ht="15.75" customHeight="1" x14ac:dyDescent="0.2">
      <c r="A989" s="6"/>
    </row>
    <row r="990" spans="1:1" ht="15.75" customHeight="1" x14ac:dyDescent="0.2">
      <c r="A990" s="6"/>
    </row>
    <row r="991" spans="1:1" ht="15.75" customHeight="1" x14ac:dyDescent="0.2">
      <c r="A991" s="6"/>
    </row>
    <row r="992" spans="1:1" ht="15.75" customHeight="1" x14ac:dyDescent="0.2">
      <c r="A992" s="6"/>
    </row>
    <row r="993" spans="1:1" ht="15.75" customHeight="1" x14ac:dyDescent="0.2">
      <c r="A993" s="6"/>
    </row>
    <row r="994" spans="1:1" ht="15.75" customHeight="1" x14ac:dyDescent="0.2">
      <c r="A994" s="6"/>
    </row>
    <row r="995" spans="1:1" ht="15.75" customHeight="1" x14ac:dyDescent="0.2">
      <c r="A995" s="6"/>
    </row>
    <row r="996" spans="1:1" ht="15.75" customHeight="1" x14ac:dyDescent="0.2">
      <c r="A996" s="6"/>
    </row>
    <row r="997" spans="1:1" ht="15.75" customHeight="1" x14ac:dyDescent="0.2">
      <c r="A997" s="6"/>
    </row>
    <row r="998" spans="1:1" ht="15.75" customHeight="1" x14ac:dyDescent="0.2">
      <c r="A998" s="6"/>
    </row>
    <row r="999" spans="1:1" ht="15.75" customHeight="1" x14ac:dyDescent="0.2">
      <c r="A999" s="6"/>
    </row>
    <row r="1000" spans="1:1" ht="15.75" customHeight="1" x14ac:dyDescent="0.2">
      <c r="A1000" s="6"/>
    </row>
  </sheetData>
  <mergeCells count="1914">
    <mergeCell ref="A1:Y1"/>
    <mergeCell ref="A2:Y2"/>
    <mergeCell ref="B3:E3"/>
    <mergeCell ref="F3:W3"/>
    <mergeCell ref="X3:Y3"/>
    <mergeCell ref="B4:E4"/>
    <mergeCell ref="F4:W4"/>
    <mergeCell ref="X4:Y4"/>
    <mergeCell ref="B5:E5"/>
    <mergeCell ref="F5:W5"/>
    <mergeCell ref="X5:Y5"/>
    <mergeCell ref="B6:E6"/>
    <mergeCell ref="F6:W6"/>
    <mergeCell ref="X6:Y6"/>
    <mergeCell ref="B7:E7"/>
    <mergeCell ref="F7:W7"/>
    <mergeCell ref="X7:Y7"/>
    <mergeCell ref="B8:E8"/>
    <mergeCell ref="F8:W8"/>
    <mergeCell ref="X8:Y8"/>
    <mergeCell ref="B9:E9"/>
    <mergeCell ref="F9:W9"/>
    <mergeCell ref="X9:Y9"/>
    <mergeCell ref="B10:E10"/>
    <mergeCell ref="F10:W10"/>
    <mergeCell ref="X10:Y10"/>
    <mergeCell ref="B11:E11"/>
    <mergeCell ref="F11:W11"/>
    <mergeCell ref="X11:Y11"/>
    <mergeCell ref="B12:E12"/>
    <mergeCell ref="F12:W12"/>
    <mergeCell ref="X12:Y12"/>
    <mergeCell ref="B13:E13"/>
    <mergeCell ref="F13:W13"/>
    <mergeCell ref="X13:Y13"/>
    <mergeCell ref="B14:E14"/>
    <mergeCell ref="F14:W14"/>
    <mergeCell ref="X14:Y14"/>
    <mergeCell ref="B15:E15"/>
    <mergeCell ref="F15:W15"/>
    <mergeCell ref="X15:Y15"/>
    <mergeCell ref="B16:E16"/>
    <mergeCell ref="F16:W16"/>
    <mergeCell ref="X16:Y16"/>
    <mergeCell ref="B17:E17"/>
    <mergeCell ref="F17:W17"/>
    <mergeCell ref="X17:Y17"/>
    <mergeCell ref="B18:E18"/>
    <mergeCell ref="F18:W18"/>
    <mergeCell ref="X18:Y18"/>
    <mergeCell ref="B19:E19"/>
    <mergeCell ref="F19:W19"/>
    <mergeCell ref="X19:Y19"/>
    <mergeCell ref="B20:E20"/>
    <mergeCell ref="F20:W20"/>
    <mergeCell ref="X20:Y20"/>
    <mergeCell ref="B21:E21"/>
    <mergeCell ref="F21:W21"/>
    <mergeCell ref="X21:Y21"/>
    <mergeCell ref="B22:E22"/>
    <mergeCell ref="F22:W22"/>
    <mergeCell ref="X22:Y22"/>
    <mergeCell ref="B23:E23"/>
    <mergeCell ref="F23:W23"/>
    <mergeCell ref="X23:Y23"/>
    <mergeCell ref="B24:E24"/>
    <mergeCell ref="F24:W24"/>
    <mergeCell ref="X24:Y24"/>
    <mergeCell ref="B25:E25"/>
    <mergeCell ref="F25:W25"/>
    <mergeCell ref="X25:Y25"/>
    <mergeCell ref="B26:E26"/>
    <mergeCell ref="F26:W26"/>
    <mergeCell ref="X26:Y26"/>
    <mergeCell ref="B27:E27"/>
    <mergeCell ref="F27:W27"/>
    <mergeCell ref="X27:Y27"/>
    <mergeCell ref="B28:E28"/>
    <mergeCell ref="F28:W28"/>
    <mergeCell ref="X28:Y28"/>
    <mergeCell ref="B29:E29"/>
    <mergeCell ref="F29:W29"/>
    <mergeCell ref="X29:Y29"/>
    <mergeCell ref="B30:E30"/>
    <mergeCell ref="F30:W30"/>
    <mergeCell ref="X30:Y30"/>
    <mergeCell ref="B31:E31"/>
    <mergeCell ref="F31:W31"/>
    <mergeCell ref="X31:Y31"/>
    <mergeCell ref="B32:E32"/>
    <mergeCell ref="F32:W32"/>
    <mergeCell ref="X32:Y32"/>
    <mergeCell ref="B33:E33"/>
    <mergeCell ref="F33:W33"/>
    <mergeCell ref="X33:Y33"/>
    <mergeCell ref="B34:E34"/>
    <mergeCell ref="F34:W34"/>
    <mergeCell ref="X34:Y34"/>
    <mergeCell ref="A36:Y36"/>
    <mergeCell ref="C38:F38"/>
    <mergeCell ref="G38:J38"/>
    <mergeCell ref="K38:W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A49:Y49"/>
    <mergeCell ref="C51:F51"/>
    <mergeCell ref="G51:J51"/>
    <mergeCell ref="K51:W51"/>
    <mergeCell ref="C52:F52"/>
    <mergeCell ref="G52:J52"/>
    <mergeCell ref="K52:N52"/>
    <mergeCell ref="O52:Q52"/>
    <mergeCell ref="R52:S52"/>
    <mergeCell ref="T52:U52"/>
    <mergeCell ref="V52:W52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9:F59"/>
    <mergeCell ref="G59:J59"/>
    <mergeCell ref="K59:W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7:F67"/>
    <mergeCell ref="G67:J67"/>
    <mergeCell ref="K67:W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7:F77"/>
    <mergeCell ref="G77:J77"/>
    <mergeCell ref="K77:W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4:F84"/>
    <mergeCell ref="G84:J84"/>
    <mergeCell ref="K84:W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1:F91"/>
    <mergeCell ref="G91:J91"/>
    <mergeCell ref="K91:W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2:F102"/>
    <mergeCell ref="G102:J102"/>
    <mergeCell ref="K102:W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3:F113"/>
    <mergeCell ref="G113:J113"/>
    <mergeCell ref="K113:W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1:F121"/>
    <mergeCell ref="G121:J121"/>
    <mergeCell ref="K121:W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9:F129"/>
    <mergeCell ref="G129:J129"/>
    <mergeCell ref="K129:W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8:F138"/>
    <mergeCell ref="G138:J138"/>
    <mergeCell ref="K138:W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6:F146"/>
    <mergeCell ref="G146:J146"/>
    <mergeCell ref="K146:W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5:F155"/>
    <mergeCell ref="G155:J155"/>
    <mergeCell ref="K155:W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63:F163"/>
    <mergeCell ref="G163:J163"/>
    <mergeCell ref="K163:W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6:F166"/>
    <mergeCell ref="G166:J166"/>
    <mergeCell ref="K166:N166"/>
    <mergeCell ref="O166:Q166"/>
    <mergeCell ref="R166:S166"/>
    <mergeCell ref="T166:U166"/>
    <mergeCell ref="V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4:F174"/>
    <mergeCell ref="G174:J174"/>
    <mergeCell ref="K174:W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1:F181"/>
    <mergeCell ref="G181:J181"/>
    <mergeCell ref="K181:W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8:F188"/>
    <mergeCell ref="G188:J188"/>
    <mergeCell ref="K188:W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8:F198"/>
    <mergeCell ref="G198:J198"/>
    <mergeCell ref="K198:W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10:F210"/>
    <mergeCell ref="G210:J210"/>
    <mergeCell ref="K210:W210"/>
    <mergeCell ref="C211:F211"/>
    <mergeCell ref="G211:J211"/>
    <mergeCell ref="K211:N211"/>
    <mergeCell ref="O211:Q211"/>
    <mergeCell ref="R211:S211"/>
    <mergeCell ref="T211:U211"/>
    <mergeCell ref="V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1:F221"/>
    <mergeCell ref="G221:J221"/>
    <mergeCell ref="K221:W221"/>
    <mergeCell ref="C222:F222"/>
    <mergeCell ref="G222:J222"/>
    <mergeCell ref="K222:N222"/>
    <mergeCell ref="O222:Q222"/>
    <mergeCell ref="R222:S222"/>
    <mergeCell ref="T222:U222"/>
    <mergeCell ref="V222:W222"/>
    <mergeCell ref="X222:Y222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1:F231"/>
    <mergeCell ref="G231:J231"/>
    <mergeCell ref="K231:W231"/>
    <mergeCell ref="C232:F232"/>
    <mergeCell ref="G232:J232"/>
    <mergeCell ref="K232:N232"/>
    <mergeCell ref="O232:Q232"/>
    <mergeCell ref="R232:S232"/>
    <mergeCell ref="T232:U232"/>
    <mergeCell ref="V232:W232"/>
    <mergeCell ref="X232:Y232"/>
    <mergeCell ref="C233:F233"/>
    <mergeCell ref="G233:J233"/>
    <mergeCell ref="K233:N233"/>
    <mergeCell ref="O233:Q233"/>
    <mergeCell ref="R233:S233"/>
    <mergeCell ref="T233:U233"/>
    <mergeCell ref="V233:W233"/>
    <mergeCell ref="X233:Y233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C236:F236"/>
    <mergeCell ref="G236:J236"/>
    <mergeCell ref="K236:N236"/>
    <mergeCell ref="O236:Q236"/>
    <mergeCell ref="R236:S236"/>
    <mergeCell ref="T236:U236"/>
    <mergeCell ref="V236:W236"/>
    <mergeCell ref="X236:Y236"/>
    <mergeCell ref="C237:F237"/>
    <mergeCell ref="G237:J237"/>
    <mergeCell ref="K237:N237"/>
    <mergeCell ref="O237:Q237"/>
    <mergeCell ref="R237:S237"/>
    <mergeCell ref="T237:U237"/>
    <mergeCell ref="V237:W237"/>
    <mergeCell ref="X237:Y237"/>
    <mergeCell ref="C239:F239"/>
    <mergeCell ref="G239:J239"/>
    <mergeCell ref="K239:W239"/>
    <mergeCell ref="C240:F240"/>
    <mergeCell ref="G240:J240"/>
    <mergeCell ref="K240:N240"/>
    <mergeCell ref="O240:Q240"/>
    <mergeCell ref="R240:S240"/>
    <mergeCell ref="T240:U240"/>
    <mergeCell ref="V240:W240"/>
    <mergeCell ref="X240:Y240"/>
    <mergeCell ref="C241:F241"/>
    <mergeCell ref="G241:J241"/>
    <mergeCell ref="K241:N241"/>
    <mergeCell ref="O241:Q241"/>
    <mergeCell ref="R241:S241"/>
    <mergeCell ref="T241:U241"/>
    <mergeCell ref="V241:W241"/>
    <mergeCell ref="X241:Y241"/>
    <mergeCell ref="C242:F242"/>
    <mergeCell ref="G242:J242"/>
    <mergeCell ref="K242:N242"/>
    <mergeCell ref="O242:Q242"/>
    <mergeCell ref="R242:S242"/>
    <mergeCell ref="T242:U242"/>
    <mergeCell ref="V242:W242"/>
    <mergeCell ref="X242:Y242"/>
    <mergeCell ref="C243:F243"/>
    <mergeCell ref="G243:J243"/>
    <mergeCell ref="K243:N243"/>
    <mergeCell ref="O243:Q243"/>
    <mergeCell ref="R243:S243"/>
    <mergeCell ref="T243:U243"/>
    <mergeCell ref="V243:W243"/>
    <mergeCell ref="X243:Y243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C245:F245"/>
    <mergeCell ref="G245:J245"/>
    <mergeCell ref="K245:N245"/>
    <mergeCell ref="O245:Q245"/>
    <mergeCell ref="R245:S245"/>
    <mergeCell ref="T245:U245"/>
    <mergeCell ref="V245:W245"/>
    <mergeCell ref="X245:Y245"/>
    <mergeCell ref="C247:F247"/>
    <mergeCell ref="G247:J247"/>
    <mergeCell ref="K247:W247"/>
    <mergeCell ref="C248:F248"/>
    <mergeCell ref="G248:J248"/>
    <mergeCell ref="K248:N248"/>
    <mergeCell ref="O248:Q248"/>
    <mergeCell ref="R248:S248"/>
    <mergeCell ref="T248:U248"/>
    <mergeCell ref="V248:W248"/>
    <mergeCell ref="X248:Y248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0:F250"/>
    <mergeCell ref="G250:J250"/>
    <mergeCell ref="K250:N250"/>
    <mergeCell ref="O250:Q250"/>
    <mergeCell ref="R250:S250"/>
    <mergeCell ref="T250:U250"/>
    <mergeCell ref="V250:W250"/>
    <mergeCell ref="X250:Y250"/>
    <mergeCell ref="C251:F251"/>
    <mergeCell ref="G251:J251"/>
    <mergeCell ref="K251:N251"/>
    <mergeCell ref="O251:Q251"/>
    <mergeCell ref="R251:S251"/>
    <mergeCell ref="T251:U251"/>
    <mergeCell ref="V251:W251"/>
    <mergeCell ref="X251:Y251"/>
    <mergeCell ref="C252:F252"/>
    <mergeCell ref="G252:J252"/>
    <mergeCell ref="K252:N252"/>
    <mergeCell ref="O252:Q252"/>
    <mergeCell ref="R252:S252"/>
    <mergeCell ref="T252:U252"/>
    <mergeCell ref="V252:W252"/>
    <mergeCell ref="X252:Y252"/>
    <mergeCell ref="C253:F253"/>
    <mergeCell ref="G253:J253"/>
    <mergeCell ref="K253:N253"/>
    <mergeCell ref="O253:Q253"/>
    <mergeCell ref="R253:S253"/>
    <mergeCell ref="T253:U253"/>
    <mergeCell ref="V253:W253"/>
    <mergeCell ref="X253:Y253"/>
    <mergeCell ref="C255:F255"/>
    <mergeCell ref="G255:J255"/>
    <mergeCell ref="K255:W255"/>
    <mergeCell ref="C256:F256"/>
    <mergeCell ref="G256:J256"/>
    <mergeCell ref="K256:N256"/>
    <mergeCell ref="O256:Q256"/>
    <mergeCell ref="R256:S256"/>
    <mergeCell ref="T256:U256"/>
    <mergeCell ref="V256:W256"/>
    <mergeCell ref="X256:Y256"/>
    <mergeCell ref="C257:F257"/>
    <mergeCell ref="G257:J257"/>
    <mergeCell ref="K257:N257"/>
    <mergeCell ref="O257:Q257"/>
    <mergeCell ref="R257:S257"/>
    <mergeCell ref="T257:U257"/>
    <mergeCell ref="V257:W257"/>
    <mergeCell ref="X257:Y257"/>
    <mergeCell ref="C258:F258"/>
    <mergeCell ref="G258:J258"/>
    <mergeCell ref="K258:N258"/>
    <mergeCell ref="O258:Q258"/>
    <mergeCell ref="R258:S258"/>
    <mergeCell ref="T258:U258"/>
    <mergeCell ref="V258:W258"/>
    <mergeCell ref="X258:Y258"/>
    <mergeCell ref="C259:F259"/>
    <mergeCell ref="G259:J259"/>
    <mergeCell ref="K259:N259"/>
    <mergeCell ref="O259:Q259"/>
    <mergeCell ref="R259:S259"/>
    <mergeCell ref="T259:U259"/>
    <mergeCell ref="V259:W259"/>
    <mergeCell ref="X259:Y259"/>
    <mergeCell ref="C260:F260"/>
    <mergeCell ref="G260:J260"/>
    <mergeCell ref="K260:N260"/>
    <mergeCell ref="O260:Q260"/>
    <mergeCell ref="R260:S260"/>
    <mergeCell ref="T260:U260"/>
    <mergeCell ref="V260:W260"/>
    <mergeCell ref="X260:Y260"/>
    <mergeCell ref="C261:F261"/>
    <mergeCell ref="G261:J261"/>
    <mergeCell ref="K261:N261"/>
    <mergeCell ref="O261:Q261"/>
    <mergeCell ref="R261:S261"/>
    <mergeCell ref="T261:U261"/>
    <mergeCell ref="V261:W261"/>
    <mergeCell ref="X261:Y261"/>
    <mergeCell ref="C263:F263"/>
    <mergeCell ref="G263:J263"/>
    <mergeCell ref="K263:W263"/>
    <mergeCell ref="C264:F264"/>
    <mergeCell ref="G264:J264"/>
    <mergeCell ref="K264:N264"/>
    <mergeCell ref="O264:Q264"/>
    <mergeCell ref="R264:S264"/>
    <mergeCell ref="T264:U264"/>
    <mergeCell ref="V264:W264"/>
    <mergeCell ref="X264:Y264"/>
    <mergeCell ref="C265:F265"/>
    <mergeCell ref="G265:J265"/>
    <mergeCell ref="K265:N265"/>
    <mergeCell ref="O265:Q265"/>
    <mergeCell ref="R265:S265"/>
    <mergeCell ref="T265:U265"/>
    <mergeCell ref="V265:W265"/>
    <mergeCell ref="X265:Y265"/>
    <mergeCell ref="C266:F266"/>
    <mergeCell ref="G266:J266"/>
    <mergeCell ref="K266:N266"/>
    <mergeCell ref="O266:Q266"/>
    <mergeCell ref="R266:S266"/>
    <mergeCell ref="T266:U266"/>
    <mergeCell ref="V266:W266"/>
    <mergeCell ref="X266:Y266"/>
    <mergeCell ref="C267:F267"/>
    <mergeCell ref="G267:J267"/>
    <mergeCell ref="K267:N267"/>
    <mergeCell ref="O267:Q267"/>
    <mergeCell ref="R267:S267"/>
    <mergeCell ref="T267:U267"/>
    <mergeCell ref="V267:W267"/>
    <mergeCell ref="X267:Y267"/>
    <mergeCell ref="C268:F268"/>
    <mergeCell ref="G268:J268"/>
    <mergeCell ref="K268:N268"/>
    <mergeCell ref="O268:Q268"/>
    <mergeCell ref="R268:S268"/>
    <mergeCell ref="T268:U268"/>
    <mergeCell ref="V268:W268"/>
    <mergeCell ref="X268:Y268"/>
    <mergeCell ref="C269:F269"/>
    <mergeCell ref="G269:J269"/>
    <mergeCell ref="K269:N269"/>
    <mergeCell ref="O269:Q269"/>
    <mergeCell ref="R269:S269"/>
    <mergeCell ref="T269:U269"/>
    <mergeCell ref="V269:W269"/>
    <mergeCell ref="X269:Y269"/>
    <mergeCell ref="C271:F271"/>
    <mergeCell ref="G271:J271"/>
    <mergeCell ref="K271:W271"/>
    <mergeCell ref="C272:F272"/>
    <mergeCell ref="G272:J272"/>
    <mergeCell ref="K272:N272"/>
    <mergeCell ref="O272:Q272"/>
    <mergeCell ref="R272:S272"/>
    <mergeCell ref="T272:U272"/>
    <mergeCell ref="V272:W272"/>
    <mergeCell ref="X272:Y272"/>
    <mergeCell ref="C273:F273"/>
    <mergeCell ref="G273:J273"/>
    <mergeCell ref="K273:N273"/>
    <mergeCell ref="O273:Q273"/>
    <mergeCell ref="R273:S273"/>
    <mergeCell ref="T273:U273"/>
    <mergeCell ref="V273:W273"/>
    <mergeCell ref="X273:Y273"/>
    <mergeCell ref="C274:F274"/>
    <mergeCell ref="G274:J274"/>
    <mergeCell ref="K274:N274"/>
    <mergeCell ref="O274:Q274"/>
    <mergeCell ref="R274:S274"/>
    <mergeCell ref="T274:U274"/>
    <mergeCell ref="V274:W274"/>
    <mergeCell ref="X274:Y274"/>
    <mergeCell ref="C275:F275"/>
    <mergeCell ref="G275:J275"/>
    <mergeCell ref="K275:N275"/>
    <mergeCell ref="O275:Q275"/>
    <mergeCell ref="R275:S275"/>
    <mergeCell ref="T275:U275"/>
    <mergeCell ref="V275:W275"/>
    <mergeCell ref="X275:Y275"/>
    <mergeCell ref="C276:F276"/>
    <mergeCell ref="G276:J276"/>
    <mergeCell ref="K276:N276"/>
    <mergeCell ref="O276:Q276"/>
    <mergeCell ref="R276:S276"/>
    <mergeCell ref="T276:U276"/>
    <mergeCell ref="V276:W276"/>
    <mergeCell ref="X276:Y276"/>
    <mergeCell ref="C277:F277"/>
    <mergeCell ref="G277:J277"/>
    <mergeCell ref="K277:N277"/>
    <mergeCell ref="O277:Q277"/>
    <mergeCell ref="R277:S277"/>
    <mergeCell ref="T277:U277"/>
    <mergeCell ref="V277:W277"/>
    <mergeCell ref="X277:Y277"/>
    <mergeCell ref="C279:F279"/>
    <mergeCell ref="G279:J279"/>
    <mergeCell ref="K279:W279"/>
    <mergeCell ref="C280:F280"/>
    <mergeCell ref="G280:J280"/>
    <mergeCell ref="K280:N280"/>
    <mergeCell ref="O280:Q280"/>
    <mergeCell ref="R280:S280"/>
    <mergeCell ref="T280:U280"/>
    <mergeCell ref="V280:W280"/>
    <mergeCell ref="X280:Y280"/>
    <mergeCell ref="C281:F281"/>
    <mergeCell ref="G281:J281"/>
    <mergeCell ref="K281:N281"/>
    <mergeCell ref="O281:Q281"/>
    <mergeCell ref="R281:S281"/>
    <mergeCell ref="T281:U281"/>
    <mergeCell ref="V281:W281"/>
    <mergeCell ref="X281:Y281"/>
    <mergeCell ref="C282:F282"/>
    <mergeCell ref="G282:J282"/>
    <mergeCell ref="K282:N282"/>
    <mergeCell ref="O282:Q282"/>
    <mergeCell ref="R282:S282"/>
    <mergeCell ref="T282:U282"/>
    <mergeCell ref="V282:W282"/>
    <mergeCell ref="X282:Y282"/>
    <mergeCell ref="C283:F283"/>
    <mergeCell ref="G283:J283"/>
    <mergeCell ref="K283:N283"/>
    <mergeCell ref="O283:Q283"/>
    <mergeCell ref="R283:S283"/>
    <mergeCell ref="T283:U283"/>
    <mergeCell ref="V283:W283"/>
    <mergeCell ref="X283:Y283"/>
    <mergeCell ref="C284:F284"/>
    <mergeCell ref="G284:J284"/>
    <mergeCell ref="K284:N284"/>
    <mergeCell ref="O284:Q284"/>
    <mergeCell ref="R284:S284"/>
    <mergeCell ref="T284:U284"/>
    <mergeCell ref="V284:W284"/>
    <mergeCell ref="X284:Y284"/>
    <mergeCell ref="C285:F285"/>
    <mergeCell ref="G285:J285"/>
    <mergeCell ref="K285:N285"/>
    <mergeCell ref="O285:Q285"/>
    <mergeCell ref="R285:S285"/>
    <mergeCell ref="T285:U285"/>
    <mergeCell ref="V285:W285"/>
    <mergeCell ref="X285:Y285"/>
    <mergeCell ref="C287:F287"/>
    <mergeCell ref="G287:J287"/>
    <mergeCell ref="K287:W287"/>
    <mergeCell ref="C288:F288"/>
    <mergeCell ref="G288:J288"/>
    <mergeCell ref="K288:N288"/>
    <mergeCell ref="O288:Q288"/>
    <mergeCell ref="R288:S288"/>
    <mergeCell ref="T288:U288"/>
    <mergeCell ref="V288:W288"/>
    <mergeCell ref="X288:Y288"/>
    <mergeCell ref="C289:F289"/>
    <mergeCell ref="G289:J289"/>
    <mergeCell ref="K289:N289"/>
    <mergeCell ref="O289:Q289"/>
    <mergeCell ref="R289:S289"/>
    <mergeCell ref="T289:U289"/>
    <mergeCell ref="V289:W289"/>
    <mergeCell ref="X289:Y289"/>
    <mergeCell ref="C290:F290"/>
    <mergeCell ref="G290:J290"/>
    <mergeCell ref="K290:N290"/>
    <mergeCell ref="O290:Q290"/>
    <mergeCell ref="R290:S290"/>
    <mergeCell ref="T290:U290"/>
    <mergeCell ref="V290:W290"/>
    <mergeCell ref="X290:Y290"/>
    <mergeCell ref="C291:F291"/>
    <mergeCell ref="G291:J291"/>
    <mergeCell ref="K291:N291"/>
    <mergeCell ref="O291:Q291"/>
    <mergeCell ref="R291:S291"/>
    <mergeCell ref="T291:U291"/>
    <mergeCell ref="V291:W291"/>
    <mergeCell ref="X291:Y291"/>
    <mergeCell ref="C292:F292"/>
    <mergeCell ref="G292:J292"/>
    <mergeCell ref="K292:N292"/>
    <mergeCell ref="O292:Q292"/>
    <mergeCell ref="R292:S292"/>
    <mergeCell ref="T292:U292"/>
    <mergeCell ref="V292:W292"/>
    <mergeCell ref="X292:Y292"/>
    <mergeCell ref="C293:F293"/>
    <mergeCell ref="G293:J293"/>
    <mergeCell ref="K293:N293"/>
    <mergeCell ref="O293:Q293"/>
    <mergeCell ref="R293:S293"/>
    <mergeCell ref="T293:U293"/>
    <mergeCell ref="V293:W293"/>
    <mergeCell ref="X293:Y293"/>
    <mergeCell ref="C294:F294"/>
    <mergeCell ref="G294:J294"/>
    <mergeCell ref="K294:N294"/>
    <mergeCell ref="O294:Q294"/>
    <mergeCell ref="R294:S294"/>
    <mergeCell ref="T294:U294"/>
    <mergeCell ref="V294:W294"/>
    <mergeCell ref="X294:Y294"/>
    <mergeCell ref="C295:F295"/>
    <mergeCell ref="G295:J295"/>
    <mergeCell ref="K295:N295"/>
    <mergeCell ref="O295:Q295"/>
    <mergeCell ref="R295:S295"/>
    <mergeCell ref="T295:U295"/>
    <mergeCell ref="V295:W295"/>
    <mergeCell ref="X295:Y295"/>
    <mergeCell ref="C297:F297"/>
    <mergeCell ref="G297:J297"/>
    <mergeCell ref="K297:W297"/>
    <mergeCell ref="C298:F298"/>
    <mergeCell ref="G298:J298"/>
    <mergeCell ref="K298:N298"/>
    <mergeCell ref="O298:Q298"/>
    <mergeCell ref="R298:S298"/>
    <mergeCell ref="T298:U298"/>
    <mergeCell ref="V298:W298"/>
    <mergeCell ref="X298:Y298"/>
    <mergeCell ref="C299:F299"/>
    <mergeCell ref="G299:J299"/>
    <mergeCell ref="K299:N299"/>
    <mergeCell ref="O299:Q299"/>
    <mergeCell ref="R299:S299"/>
    <mergeCell ref="T299:U299"/>
    <mergeCell ref="V299:W299"/>
    <mergeCell ref="X299:Y299"/>
    <mergeCell ref="C300:F300"/>
    <mergeCell ref="G300:J300"/>
    <mergeCell ref="K300:N300"/>
    <mergeCell ref="O300:Q300"/>
    <mergeCell ref="R300:S300"/>
    <mergeCell ref="T300:U300"/>
    <mergeCell ref="V300:W300"/>
    <mergeCell ref="X300:Y300"/>
    <mergeCell ref="C301:F301"/>
    <mergeCell ref="G301:J301"/>
    <mergeCell ref="K301:N301"/>
    <mergeCell ref="O301:Q301"/>
    <mergeCell ref="R301:S301"/>
    <mergeCell ref="T301:U301"/>
    <mergeCell ref="V301:W301"/>
    <mergeCell ref="X301:Y301"/>
    <mergeCell ref="C302:F302"/>
    <mergeCell ref="G302:J302"/>
    <mergeCell ref="K302:N302"/>
    <mergeCell ref="O302:Q302"/>
    <mergeCell ref="R302:S302"/>
    <mergeCell ref="T302:U302"/>
    <mergeCell ref="V302:W302"/>
    <mergeCell ref="X302:Y302"/>
    <mergeCell ref="C303:F303"/>
    <mergeCell ref="G303:J303"/>
    <mergeCell ref="K303:N303"/>
    <mergeCell ref="O303:Q303"/>
    <mergeCell ref="R303:S303"/>
    <mergeCell ref="T303:U303"/>
    <mergeCell ref="V303:W303"/>
    <mergeCell ref="X303:Y303"/>
    <mergeCell ref="C304:F304"/>
    <mergeCell ref="G304:J304"/>
    <mergeCell ref="K304:N304"/>
    <mergeCell ref="O304:Q304"/>
    <mergeCell ref="R304:S304"/>
    <mergeCell ref="T304:U304"/>
    <mergeCell ref="V304:W304"/>
    <mergeCell ref="X304:Y304"/>
    <mergeCell ref="C306:F306"/>
    <mergeCell ref="G306:J306"/>
    <mergeCell ref="K306:W306"/>
    <mergeCell ref="C307:F307"/>
    <mergeCell ref="G307:J307"/>
    <mergeCell ref="K307:N307"/>
    <mergeCell ref="O307:Q307"/>
    <mergeCell ref="R307:S307"/>
    <mergeCell ref="T307:U307"/>
    <mergeCell ref="V307:W307"/>
    <mergeCell ref="X307:Y307"/>
    <mergeCell ref="X313:Y313"/>
    <mergeCell ref="C308:F308"/>
    <mergeCell ref="G308:J308"/>
    <mergeCell ref="K308:N308"/>
    <mergeCell ref="O308:Q308"/>
    <mergeCell ref="R308:S308"/>
    <mergeCell ref="T308:U308"/>
    <mergeCell ref="V308:W308"/>
    <mergeCell ref="X308:Y308"/>
    <mergeCell ref="C309:F309"/>
    <mergeCell ref="G309:J309"/>
    <mergeCell ref="K309:N309"/>
    <mergeCell ref="O309:Q309"/>
    <mergeCell ref="R309:S309"/>
    <mergeCell ref="T309:U309"/>
    <mergeCell ref="V309:W309"/>
    <mergeCell ref="X309:Y309"/>
    <mergeCell ref="C310:F310"/>
    <mergeCell ref="G310:J310"/>
    <mergeCell ref="K310:N310"/>
    <mergeCell ref="O310:Q310"/>
    <mergeCell ref="R310:S310"/>
    <mergeCell ref="T310:U310"/>
    <mergeCell ref="V310:W310"/>
    <mergeCell ref="X310:Y310"/>
    <mergeCell ref="C314:F314"/>
    <mergeCell ref="G314:J314"/>
    <mergeCell ref="K314:N314"/>
    <mergeCell ref="O314:Q314"/>
    <mergeCell ref="R314:S314"/>
    <mergeCell ref="T314:U314"/>
    <mergeCell ref="V314:W314"/>
    <mergeCell ref="X314:Y314"/>
    <mergeCell ref="A316:Y316"/>
    <mergeCell ref="C311:F311"/>
    <mergeCell ref="G311:J311"/>
    <mergeCell ref="K311:N311"/>
    <mergeCell ref="O311:Q311"/>
    <mergeCell ref="R311:S311"/>
    <mergeCell ref="T311:U311"/>
    <mergeCell ref="V311:W311"/>
    <mergeCell ref="X311:Y311"/>
    <mergeCell ref="C312:F312"/>
    <mergeCell ref="G312:J312"/>
    <mergeCell ref="K312:N312"/>
    <mergeCell ref="O312:Q312"/>
    <mergeCell ref="R312:S312"/>
    <mergeCell ref="T312:U312"/>
    <mergeCell ref="V312:W312"/>
    <mergeCell ref="X312:Y312"/>
    <mergeCell ref="C313:F313"/>
    <mergeCell ref="G313:J313"/>
    <mergeCell ref="K313:N313"/>
    <mergeCell ref="O313:Q313"/>
    <mergeCell ref="R313:S313"/>
    <mergeCell ref="T313:U313"/>
    <mergeCell ref="V313:W3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ER (corregido)</vt:lpstr>
      <vt:lpstr>Inventario Modelo Lógico (corre</vt:lpstr>
      <vt:lpstr>Tipos de Dato</vt:lpstr>
      <vt:lpstr>DICCIONARIO DATOS (Físico)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 Otalvaro Valencia - Estudiante</cp:lastModifiedBy>
  <cp:revision>0</cp:revision>
  <dcterms:created xsi:type="dcterms:W3CDTF">2026-10-09T02:10:21Z</dcterms:created>
  <dcterms:modified xsi:type="dcterms:W3CDTF">2026-10-09T03:16:43Z</dcterms:modified>
  <dc:language>en-US</dc:language>
</cp:coreProperties>
</file>